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kulPadalkar\Box\Georgetown\ANLY512\Lecture Notes\datasets\"/>
    </mc:Choice>
  </mc:AlternateContent>
  <xr:revisionPtr revIDLastSave="0" documentId="13_ncr:1_{6AA1591B-0CAA-4DA4-ADAE-402EE19C2587}" xr6:coauthVersionLast="36" xr6:coauthVersionMax="36" xr10:uidLastSave="{00000000-0000-0000-0000-000000000000}"/>
  <bookViews>
    <workbookView xWindow="0" yWindow="0" windowWidth="21570" windowHeight="7980" activeTab="2" xr2:uid="{00000000-000D-0000-FFFF-FFFF00000000}"/>
  </bookViews>
  <sheets>
    <sheet name="Sheet1" sheetId="2" r:id="rId1"/>
    <sheet name="advertising" sheetId="1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K12" i="1" l="1"/>
  <c r="L5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  <c r="K3" i="1"/>
  <c r="K2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K4" i="1" l="1"/>
  <c r="O3" i="1"/>
  <c r="Q3" i="1"/>
  <c r="O4" i="1"/>
  <c r="Q4" i="1"/>
  <c r="O5" i="1"/>
  <c r="Q5" i="1"/>
  <c r="O6" i="1"/>
  <c r="Q6" i="1"/>
  <c r="O7" i="1"/>
  <c r="Q7" i="1"/>
  <c r="O8" i="1"/>
  <c r="Q8" i="1"/>
  <c r="O9" i="1"/>
  <c r="Q9" i="1"/>
  <c r="O10" i="1"/>
  <c r="Q10" i="1"/>
  <c r="O11" i="1"/>
  <c r="Q11" i="1"/>
  <c r="O12" i="1"/>
  <c r="Q12" i="1"/>
  <c r="O13" i="1"/>
  <c r="Q13" i="1"/>
  <c r="O14" i="1"/>
  <c r="Q14" i="1"/>
  <c r="O15" i="1"/>
  <c r="Q15" i="1"/>
  <c r="O16" i="1"/>
  <c r="Q16" i="1"/>
  <c r="O17" i="1"/>
  <c r="Q17" i="1"/>
  <c r="O18" i="1"/>
  <c r="Q18" i="1"/>
  <c r="O19" i="1"/>
  <c r="Q19" i="1"/>
  <c r="O20" i="1"/>
  <c r="Q20" i="1"/>
  <c r="O21" i="1"/>
  <c r="Q21" i="1"/>
  <c r="O22" i="1"/>
  <c r="Q22" i="1"/>
  <c r="O23" i="1"/>
  <c r="Q23" i="1"/>
  <c r="O24" i="1"/>
  <c r="Q24" i="1"/>
  <c r="O25" i="1"/>
  <c r="Q25" i="1"/>
  <c r="O26" i="1"/>
  <c r="Q26" i="1"/>
  <c r="O27" i="1"/>
  <c r="Q27" i="1"/>
  <c r="O28" i="1"/>
  <c r="Q28" i="1"/>
  <c r="O29" i="1"/>
  <c r="Q29" i="1"/>
  <c r="O30" i="1"/>
  <c r="Q30" i="1"/>
  <c r="O31" i="1"/>
  <c r="Q31" i="1"/>
  <c r="O32" i="1"/>
  <c r="Q32" i="1"/>
  <c r="O33" i="1"/>
  <c r="Q33" i="1"/>
  <c r="O34" i="1"/>
  <c r="Q34" i="1"/>
  <c r="O35" i="1"/>
  <c r="Q35" i="1"/>
  <c r="O36" i="1"/>
  <c r="Q36" i="1"/>
  <c r="O37" i="1"/>
  <c r="Q37" i="1"/>
  <c r="O38" i="1"/>
  <c r="Q38" i="1"/>
  <c r="O39" i="1"/>
  <c r="Q39" i="1"/>
  <c r="O40" i="1"/>
  <c r="Q40" i="1"/>
  <c r="O41" i="1"/>
  <c r="Q41" i="1"/>
  <c r="O42" i="1"/>
  <c r="Q42" i="1"/>
  <c r="O43" i="1"/>
  <c r="Q43" i="1"/>
  <c r="O44" i="1"/>
  <c r="Q44" i="1"/>
  <c r="O45" i="1"/>
  <c r="Q45" i="1"/>
  <c r="O46" i="1"/>
  <c r="Q46" i="1"/>
  <c r="O47" i="1"/>
  <c r="Q47" i="1"/>
  <c r="O48" i="1"/>
  <c r="Q48" i="1"/>
  <c r="O49" i="1"/>
  <c r="Q49" i="1"/>
  <c r="O50" i="1"/>
  <c r="Q50" i="1"/>
  <c r="O51" i="1"/>
  <c r="Q51" i="1"/>
  <c r="O52" i="1"/>
  <c r="Q52" i="1"/>
  <c r="O53" i="1"/>
  <c r="Q53" i="1"/>
  <c r="O54" i="1"/>
  <c r="Q54" i="1"/>
  <c r="O55" i="1"/>
  <c r="Q55" i="1"/>
  <c r="O56" i="1"/>
  <c r="Q56" i="1"/>
  <c r="O57" i="1"/>
  <c r="Q57" i="1"/>
  <c r="O58" i="1"/>
  <c r="Q58" i="1"/>
  <c r="O59" i="1"/>
  <c r="Q59" i="1"/>
  <c r="O60" i="1"/>
  <c r="Q60" i="1"/>
  <c r="O61" i="1"/>
  <c r="Q61" i="1"/>
  <c r="O62" i="1"/>
  <c r="Q62" i="1"/>
  <c r="O63" i="1"/>
  <c r="Q63" i="1"/>
  <c r="O64" i="1"/>
  <c r="Q64" i="1"/>
  <c r="O65" i="1"/>
  <c r="Q65" i="1"/>
  <c r="O66" i="1"/>
  <c r="Q66" i="1"/>
  <c r="O67" i="1"/>
  <c r="Q67" i="1"/>
  <c r="O68" i="1"/>
  <c r="Q68" i="1"/>
  <c r="O69" i="1"/>
  <c r="Q69" i="1"/>
  <c r="O70" i="1"/>
  <c r="Q70" i="1"/>
  <c r="O71" i="1"/>
  <c r="Q71" i="1"/>
  <c r="O72" i="1"/>
  <c r="Q72" i="1"/>
  <c r="O73" i="1"/>
  <c r="Q73" i="1"/>
  <c r="O74" i="1"/>
  <c r="Q74" i="1"/>
  <c r="O75" i="1"/>
  <c r="Q75" i="1"/>
  <c r="O76" i="1"/>
  <c r="Q76" i="1"/>
  <c r="O77" i="1"/>
  <c r="Q77" i="1"/>
  <c r="O78" i="1"/>
  <c r="Q78" i="1"/>
  <c r="O79" i="1"/>
  <c r="Q79" i="1"/>
  <c r="O80" i="1"/>
  <c r="Q80" i="1"/>
  <c r="O81" i="1"/>
  <c r="Q81" i="1"/>
  <c r="O82" i="1"/>
  <c r="Q82" i="1"/>
  <c r="O83" i="1"/>
  <c r="Q83" i="1"/>
  <c r="O84" i="1"/>
  <c r="Q84" i="1"/>
  <c r="O85" i="1"/>
  <c r="Q85" i="1"/>
  <c r="O86" i="1"/>
  <c r="Q86" i="1"/>
  <c r="O87" i="1"/>
  <c r="Q87" i="1"/>
  <c r="O88" i="1"/>
  <c r="Q88" i="1"/>
  <c r="O89" i="1"/>
  <c r="Q89" i="1"/>
  <c r="O90" i="1"/>
  <c r="Q90" i="1"/>
  <c r="O91" i="1"/>
  <c r="Q91" i="1"/>
  <c r="O92" i="1"/>
  <c r="Q92" i="1"/>
  <c r="O93" i="1"/>
  <c r="Q93" i="1"/>
  <c r="O94" i="1"/>
  <c r="Q94" i="1"/>
  <c r="O95" i="1"/>
  <c r="Q95" i="1"/>
  <c r="O96" i="1"/>
  <c r="Q96" i="1"/>
  <c r="O97" i="1"/>
  <c r="Q97" i="1"/>
  <c r="O98" i="1"/>
  <c r="Q98" i="1"/>
  <c r="O99" i="1"/>
  <c r="Q99" i="1"/>
  <c r="O100" i="1"/>
  <c r="Q100" i="1"/>
  <c r="O101" i="1"/>
  <c r="Q101" i="1"/>
  <c r="O102" i="1"/>
  <c r="Q102" i="1"/>
  <c r="O103" i="1"/>
  <c r="Q103" i="1"/>
  <c r="O104" i="1"/>
  <c r="Q104" i="1"/>
  <c r="O105" i="1"/>
  <c r="Q105" i="1"/>
  <c r="O106" i="1"/>
  <c r="Q106" i="1"/>
  <c r="O107" i="1"/>
  <c r="Q107" i="1"/>
  <c r="O108" i="1"/>
  <c r="Q108" i="1"/>
  <c r="O109" i="1"/>
  <c r="Q109" i="1"/>
  <c r="O110" i="1"/>
  <c r="Q110" i="1"/>
  <c r="O111" i="1"/>
  <c r="Q111" i="1"/>
  <c r="O112" i="1"/>
  <c r="Q112" i="1"/>
  <c r="O113" i="1"/>
  <c r="Q113" i="1"/>
  <c r="O114" i="1"/>
  <c r="Q114" i="1"/>
  <c r="O115" i="1"/>
  <c r="Q115" i="1"/>
  <c r="O116" i="1"/>
  <c r="Q116" i="1"/>
  <c r="O117" i="1"/>
  <c r="Q117" i="1"/>
  <c r="O118" i="1"/>
  <c r="Q118" i="1"/>
  <c r="O119" i="1"/>
  <c r="Q119" i="1"/>
  <c r="O120" i="1"/>
  <c r="Q120" i="1"/>
  <c r="O121" i="1"/>
  <c r="Q121" i="1"/>
  <c r="O122" i="1"/>
  <c r="Q122" i="1"/>
  <c r="O123" i="1"/>
  <c r="Q123" i="1"/>
  <c r="O124" i="1"/>
  <c r="Q124" i="1"/>
  <c r="O125" i="1"/>
  <c r="Q125" i="1"/>
  <c r="O126" i="1"/>
  <c r="Q126" i="1"/>
  <c r="O127" i="1"/>
  <c r="Q127" i="1"/>
  <c r="O128" i="1"/>
  <c r="Q128" i="1"/>
  <c r="O129" i="1"/>
  <c r="Q129" i="1"/>
  <c r="O130" i="1"/>
  <c r="Q130" i="1"/>
  <c r="O131" i="1"/>
  <c r="Q131" i="1"/>
  <c r="O132" i="1"/>
  <c r="Q132" i="1"/>
  <c r="O133" i="1"/>
  <c r="Q133" i="1"/>
  <c r="O134" i="1"/>
  <c r="Q134" i="1"/>
  <c r="O135" i="1"/>
  <c r="Q135" i="1"/>
  <c r="O136" i="1"/>
  <c r="Q136" i="1"/>
  <c r="O137" i="1"/>
  <c r="Q137" i="1"/>
  <c r="O138" i="1"/>
  <c r="Q138" i="1"/>
  <c r="O139" i="1"/>
  <c r="Q139" i="1"/>
  <c r="O140" i="1"/>
  <c r="Q140" i="1"/>
  <c r="O141" i="1"/>
  <c r="Q141" i="1"/>
  <c r="O142" i="1"/>
  <c r="Q142" i="1"/>
  <c r="O143" i="1"/>
  <c r="Q143" i="1"/>
  <c r="O144" i="1"/>
  <c r="Q144" i="1"/>
  <c r="O145" i="1"/>
  <c r="Q145" i="1"/>
  <c r="O146" i="1"/>
  <c r="Q146" i="1"/>
  <c r="O147" i="1"/>
  <c r="Q147" i="1"/>
  <c r="O148" i="1"/>
  <c r="Q148" i="1"/>
  <c r="O149" i="1"/>
  <c r="Q149" i="1"/>
  <c r="O150" i="1"/>
  <c r="Q150" i="1"/>
  <c r="O151" i="1"/>
  <c r="Q151" i="1"/>
  <c r="O152" i="1"/>
  <c r="Q152" i="1"/>
  <c r="O153" i="1"/>
  <c r="Q153" i="1"/>
  <c r="O154" i="1"/>
  <c r="Q154" i="1"/>
  <c r="O155" i="1"/>
  <c r="Q155" i="1"/>
  <c r="O156" i="1"/>
  <c r="Q156" i="1"/>
  <c r="O157" i="1"/>
  <c r="Q157" i="1"/>
  <c r="O158" i="1"/>
  <c r="Q158" i="1"/>
  <c r="O159" i="1"/>
  <c r="Q159" i="1"/>
  <c r="O160" i="1"/>
  <c r="Q160" i="1"/>
  <c r="O161" i="1"/>
  <c r="Q161" i="1"/>
  <c r="O162" i="1"/>
  <c r="Q162" i="1"/>
  <c r="O163" i="1"/>
  <c r="Q163" i="1"/>
  <c r="O164" i="1"/>
  <c r="Q164" i="1"/>
  <c r="O165" i="1"/>
  <c r="Q165" i="1"/>
  <c r="O166" i="1"/>
  <c r="Q166" i="1"/>
  <c r="O167" i="1"/>
  <c r="Q167" i="1"/>
  <c r="O168" i="1"/>
  <c r="Q168" i="1"/>
  <c r="O169" i="1"/>
  <c r="Q169" i="1"/>
  <c r="O170" i="1"/>
  <c r="Q170" i="1"/>
  <c r="O171" i="1"/>
  <c r="Q171" i="1"/>
  <c r="O172" i="1"/>
  <c r="Q172" i="1"/>
  <c r="O173" i="1"/>
  <c r="Q173" i="1"/>
  <c r="O174" i="1"/>
  <c r="Q174" i="1"/>
  <c r="O175" i="1"/>
  <c r="Q175" i="1"/>
  <c r="O176" i="1"/>
  <c r="Q176" i="1"/>
  <c r="O177" i="1"/>
  <c r="Q177" i="1"/>
  <c r="O178" i="1"/>
  <c r="Q178" i="1"/>
  <c r="O179" i="1"/>
  <c r="Q179" i="1"/>
  <c r="O180" i="1"/>
  <c r="Q180" i="1"/>
  <c r="O181" i="1"/>
  <c r="Q181" i="1"/>
  <c r="O182" i="1"/>
  <c r="Q182" i="1"/>
  <c r="O183" i="1"/>
  <c r="Q183" i="1"/>
  <c r="O184" i="1"/>
  <c r="Q184" i="1"/>
  <c r="O185" i="1"/>
  <c r="Q185" i="1"/>
  <c r="O186" i="1"/>
  <c r="Q186" i="1"/>
  <c r="O187" i="1"/>
  <c r="Q187" i="1"/>
  <c r="O188" i="1"/>
  <c r="Q188" i="1"/>
  <c r="O189" i="1"/>
  <c r="Q189" i="1"/>
  <c r="O190" i="1"/>
  <c r="Q190" i="1"/>
  <c r="O191" i="1"/>
  <c r="Q191" i="1"/>
  <c r="O192" i="1"/>
  <c r="Q192" i="1"/>
  <c r="O193" i="1"/>
  <c r="Q193" i="1"/>
  <c r="O194" i="1"/>
  <c r="Q194" i="1"/>
  <c r="O195" i="1"/>
  <c r="Q195" i="1"/>
  <c r="O196" i="1"/>
  <c r="Q196" i="1"/>
  <c r="O197" i="1"/>
  <c r="Q197" i="1"/>
  <c r="O198" i="1"/>
  <c r="Q198" i="1"/>
  <c r="O199" i="1"/>
  <c r="Q199" i="1"/>
  <c r="O200" i="1"/>
  <c r="Q200" i="1"/>
  <c r="O201" i="1"/>
  <c r="Q201" i="1"/>
  <c r="Q2" i="1"/>
  <c r="O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" i="1"/>
</calcChain>
</file>

<file path=xl/sharedStrings.xml><?xml version="1.0" encoding="utf-8"?>
<sst xmlns="http://schemas.openxmlformats.org/spreadsheetml/2006/main" count="64" uniqueCount="52">
  <si>
    <t>TV</t>
  </si>
  <si>
    <t>Radio</t>
  </si>
  <si>
    <t>Newspaper</t>
  </si>
  <si>
    <t>Sales</t>
  </si>
  <si>
    <t>X</t>
  </si>
  <si>
    <t>Y</t>
  </si>
  <si>
    <t>200 X 3</t>
  </si>
  <si>
    <t>200 X 1</t>
  </si>
  <si>
    <t xml:space="preserve"> (X1, X2,X3)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</si>
  <si>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</si>
  <si>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</si>
  <si>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</si>
  <si>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</si>
  <si>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</si>
  <si>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</si>
  <si>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</si>
  <si>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</si>
  <si>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</si>
  <si>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</si>
  <si>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</si>
  <si>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</si>
  <si>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</si>
  <si>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</si>
  <si>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</si>
  <si>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</si>
  <si>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</si>
  <si>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</si>
  <si>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</si>
  <si>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</si>
  <si>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</si>
  <si>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</si>
  <si>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</si>
  <si>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</si>
  <si>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</si>
  <si>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</si>
  <si>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</si>
  <si>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</si>
  <si>
    <t>Standard Residuals</t>
  </si>
  <si>
    <t>PROBABILITY OUTPUT</t>
  </si>
  <si>
    <t>Percentile</t>
  </si>
  <si>
    <t>Yhat</t>
  </si>
  <si>
    <t>1/TV</t>
  </si>
  <si>
    <t>log(TV)</t>
  </si>
  <si>
    <t>TSS</t>
  </si>
  <si>
    <t>ESS</t>
  </si>
  <si>
    <t>RSS</t>
  </si>
  <si>
    <t>200*4</t>
  </si>
  <si>
    <t>sum TSS</t>
  </si>
  <si>
    <t>sum ESS</t>
  </si>
  <si>
    <t>5,6,10</t>
  </si>
  <si>
    <t>1,2,5,6,8</t>
  </si>
  <si>
    <t>LOOCV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</si>
</sst>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TV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advertising!$B$2:$B$201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Sheet1!$C$27:$C$226</c:f>
              <c:numCache>
                <c:formatCode>General</c:formatCode>
                <c:ptCount val="200"/>
                <c:pt idx="0">
                  <c:v>1.5760255902848392</c:v>
                </c:pt>
                <c:pt idx="1">
                  <c:v>-1.9378548208943602</c:v>
                </c:pt>
                <c:pt idx="2">
                  <c:v>-3.0076707799942284</c:v>
                </c:pt>
                <c:pt idx="3">
                  <c:v>0.9021704883108761</c:v>
                </c:pt>
                <c:pt idx="4">
                  <c:v>-0.28867185683128938</c:v>
                </c:pt>
                <c:pt idx="5">
                  <c:v>-5.2783476340358471</c:v>
                </c:pt>
                <c:pt idx="6">
                  <c:v>7.0240048436314595E-2</c:v>
                </c:pt>
                <c:pt idx="7">
                  <c:v>1.0770468344977147</c:v>
                </c:pt>
                <c:pt idx="8">
                  <c:v>1.0726591371384107</c:v>
                </c:pt>
                <c:pt idx="9">
                  <c:v>-1.9508487229346851</c:v>
                </c:pt>
                <c:pt idx="10">
                  <c:v>1.5677007994411447</c:v>
                </c:pt>
                <c:pt idx="11">
                  <c:v>0.11487081739972638</c:v>
                </c:pt>
                <c:pt idx="12">
                  <c:v>-1.377120733627665</c:v>
                </c:pt>
                <c:pt idx="13">
                  <c:v>0.87369951996679696</c:v>
                </c:pt>
                <c:pt idx="14">
                  <c:v>0.56563361643893018</c:v>
                </c:pt>
                <c:pt idx="15">
                  <c:v>1.5807004835045433</c:v>
                </c:pt>
                <c:pt idx="16">
                  <c:v>-0.32365674369935604</c:v>
                </c:pt>
                <c:pt idx="17">
                  <c:v>1.1750428412009946</c:v>
                </c:pt>
                <c:pt idx="18">
                  <c:v>1.3483179408811985</c:v>
                </c:pt>
                <c:pt idx="19">
                  <c:v>0.43392706772673684</c:v>
                </c:pt>
                <c:pt idx="20">
                  <c:v>-0.10076727708427313</c:v>
                </c:pt>
                <c:pt idx="21">
                  <c:v>-2.2405382003554486</c:v>
                </c:pt>
                <c:pt idx="22">
                  <c:v>-0.88915030356329172</c:v>
                </c:pt>
                <c:pt idx="23">
                  <c:v>-1.0459328951314539</c:v>
                </c:pt>
                <c:pt idx="24">
                  <c:v>1.5534811281772551</c:v>
                </c:pt>
                <c:pt idx="25">
                  <c:v>-3.6100386045688637</c:v>
                </c:pt>
                <c:pt idx="26">
                  <c:v>1.0485711596086134E-2</c:v>
                </c:pt>
                <c:pt idx="27">
                  <c:v>-1.1516734351616744</c:v>
                </c:pt>
                <c:pt idx="28">
                  <c:v>-0.51053802657296288</c:v>
                </c:pt>
                <c:pt idx="29">
                  <c:v>1.3559761068312763</c:v>
                </c:pt>
                <c:pt idx="30">
                  <c:v>-0.23393380269557085</c:v>
                </c:pt>
                <c:pt idx="31">
                  <c:v>0.5539070956890253</c:v>
                </c:pt>
                <c:pt idx="32">
                  <c:v>1.9611168581729208</c:v>
                </c:pt>
                <c:pt idx="33">
                  <c:v>-1.4642682928643538</c:v>
                </c:pt>
                <c:pt idx="34">
                  <c:v>1.9251694852878751</c:v>
                </c:pt>
                <c:pt idx="35">
                  <c:v>-4.2068261818470774</c:v>
                </c:pt>
                <c:pt idx="36">
                  <c:v>1.9940994826900038</c:v>
                </c:pt>
                <c:pt idx="37">
                  <c:v>-0.92347778869574348</c:v>
                </c:pt>
                <c:pt idx="38">
                  <c:v>0.19131896548780958</c:v>
                </c:pt>
                <c:pt idx="39">
                  <c:v>1.052389606252877</c:v>
                </c:pt>
                <c:pt idx="40">
                  <c:v>0.22233532868887096</c:v>
                </c:pt>
                <c:pt idx="41">
                  <c:v>-0.19598319938897646</c:v>
                </c:pt>
                <c:pt idx="42">
                  <c:v>-0.89580325632194757</c:v>
                </c:pt>
                <c:pt idx="43">
                  <c:v>-1.0638568399727149</c:v>
                </c:pt>
                <c:pt idx="44">
                  <c:v>-0.38787995644852558</c:v>
                </c:pt>
                <c:pt idx="45">
                  <c:v>-0.26152313852112563</c:v>
                </c:pt>
                <c:pt idx="46">
                  <c:v>1.7266132673176013</c:v>
                </c:pt>
                <c:pt idx="47">
                  <c:v>1.4773701049710404</c:v>
                </c:pt>
                <c:pt idx="48">
                  <c:v>-1.4636201814138019</c:v>
                </c:pt>
                <c:pt idx="49">
                  <c:v>1.5318343955946219</c:v>
                </c:pt>
                <c:pt idx="50">
                  <c:v>-1.2312113246246046</c:v>
                </c:pt>
                <c:pt idx="51">
                  <c:v>1.3601870393568198</c:v>
                </c:pt>
                <c:pt idx="52">
                  <c:v>1.9370243729854941</c:v>
                </c:pt>
                <c:pt idx="53">
                  <c:v>1.2553004303573019</c:v>
                </c:pt>
                <c:pt idx="54">
                  <c:v>-0.1744300784612669</c:v>
                </c:pt>
                <c:pt idx="55">
                  <c:v>2.4073893962512862</c:v>
                </c:pt>
                <c:pt idx="56">
                  <c:v>-3.0277125447268425</c:v>
                </c:pt>
                <c:pt idx="57">
                  <c:v>0.4254119791910167</c:v>
                </c:pt>
                <c:pt idx="58">
                  <c:v>1.9019480171011978</c:v>
                </c:pt>
                <c:pt idx="59">
                  <c:v>0.26651301929631899</c:v>
                </c:pt>
                <c:pt idx="60">
                  <c:v>2.3578444159493959</c:v>
                </c:pt>
                <c:pt idx="61">
                  <c:v>1.3093279200613246</c:v>
                </c:pt>
                <c:pt idx="62">
                  <c:v>-1.084260729108621</c:v>
                </c:pt>
                <c:pt idx="63">
                  <c:v>0.78930798304920557</c:v>
                </c:pt>
                <c:pt idx="64">
                  <c:v>1.0222644361663846</c:v>
                </c:pt>
                <c:pt idx="65">
                  <c:v>1.4509546805170812</c:v>
                </c:pt>
                <c:pt idx="66">
                  <c:v>0.48396836720118053</c:v>
                </c:pt>
                <c:pt idx="67">
                  <c:v>1.3629927023229982</c:v>
                </c:pt>
                <c:pt idx="68">
                  <c:v>-7.6579242354178234E-2</c:v>
                </c:pt>
                <c:pt idx="69">
                  <c:v>1.1910875638565734</c:v>
                </c:pt>
                <c:pt idx="70">
                  <c:v>0.52050218341770815</c:v>
                </c:pt>
                <c:pt idx="71">
                  <c:v>1.7730618470541071</c:v>
                </c:pt>
                <c:pt idx="72">
                  <c:v>-1.5668488102450215</c:v>
                </c:pt>
                <c:pt idx="73">
                  <c:v>1.0970179444078791</c:v>
                </c:pt>
                <c:pt idx="74">
                  <c:v>-0.32931196697264298</c:v>
                </c:pt>
                <c:pt idx="75">
                  <c:v>-3.1583217389837888</c:v>
                </c:pt>
                <c:pt idx="76">
                  <c:v>2.4224109594272827</c:v>
                </c:pt>
                <c:pt idx="77">
                  <c:v>0.38809777219951691</c:v>
                </c:pt>
                <c:pt idx="78">
                  <c:v>-3.5133135261735964</c:v>
                </c:pt>
                <c:pt idx="79">
                  <c:v>1.3246967167254926</c:v>
                </c:pt>
                <c:pt idx="80">
                  <c:v>0.35407636087937533</c:v>
                </c:pt>
                <c:pt idx="81">
                  <c:v>-2.3479409257610158</c:v>
                </c:pt>
                <c:pt idx="82">
                  <c:v>1.1215920081900794</c:v>
                </c:pt>
                <c:pt idx="83">
                  <c:v>-0.8218421191565497</c:v>
                </c:pt>
                <c:pt idx="84">
                  <c:v>0.91863536316611416</c:v>
                </c:pt>
                <c:pt idx="85">
                  <c:v>1.8592110153504038E-2</c:v>
                </c:pt>
                <c:pt idx="86">
                  <c:v>0.40129260572274994</c:v>
                </c:pt>
                <c:pt idx="87">
                  <c:v>0.4062152520334763</c:v>
                </c:pt>
                <c:pt idx="88">
                  <c:v>1.1887289947325268</c:v>
                </c:pt>
                <c:pt idx="89">
                  <c:v>-0.2222551067689551</c:v>
                </c:pt>
                <c:pt idx="90">
                  <c:v>1.2007703482765191</c:v>
                </c:pt>
                <c:pt idx="91">
                  <c:v>2.8036840155406226</c:v>
                </c:pt>
                <c:pt idx="92">
                  <c:v>0.24360383764678772</c:v>
                </c:pt>
                <c:pt idx="93">
                  <c:v>0.97242621523790973</c:v>
                </c:pt>
                <c:pt idx="94">
                  <c:v>1.0178761459390149</c:v>
                </c:pt>
                <c:pt idx="95">
                  <c:v>0.58507887500589817</c:v>
                </c:pt>
                <c:pt idx="96">
                  <c:v>-0.93571716170908026</c:v>
                </c:pt>
                <c:pt idx="97">
                  <c:v>0.16292217748976157</c:v>
                </c:pt>
                <c:pt idx="98">
                  <c:v>1.2813927702466508</c:v>
                </c:pt>
                <c:pt idx="99">
                  <c:v>0.25964979013137324</c:v>
                </c:pt>
                <c:pt idx="100">
                  <c:v>-2.1759584379727972</c:v>
                </c:pt>
                <c:pt idx="101">
                  <c:v>0.55751315141578672</c:v>
                </c:pt>
                <c:pt idx="102">
                  <c:v>-2.8440938458266842</c:v>
                </c:pt>
                <c:pt idx="103">
                  <c:v>-6.2211416061408897E-2</c:v>
                </c:pt>
                <c:pt idx="104">
                  <c:v>0.39889121589560261</c:v>
                </c:pt>
                <c:pt idx="105">
                  <c:v>1.2635853267426782</c:v>
                </c:pt>
                <c:pt idx="106">
                  <c:v>1.0739778514169416</c:v>
                </c:pt>
                <c:pt idx="107">
                  <c:v>1.5914975148826302</c:v>
                </c:pt>
                <c:pt idx="108">
                  <c:v>1.7127415901949847</c:v>
                </c:pt>
                <c:pt idx="109">
                  <c:v>0.10706893786597149</c:v>
                </c:pt>
                <c:pt idx="110">
                  <c:v>-1.3598740951175525</c:v>
                </c:pt>
                <c:pt idx="111">
                  <c:v>0.65972501966468045</c:v>
                </c:pt>
                <c:pt idx="112">
                  <c:v>0.21939014678882884</c:v>
                </c:pt>
                <c:pt idx="113">
                  <c:v>-0.50377622987125825</c:v>
                </c:pt>
                <c:pt idx="114">
                  <c:v>-0.7050959258780356</c:v>
                </c:pt>
                <c:pt idx="115">
                  <c:v>-0.31968895195842606</c:v>
                </c:pt>
                <c:pt idx="116">
                  <c:v>0.22125256310631336</c:v>
                </c:pt>
                <c:pt idx="117">
                  <c:v>2.8292226012422947</c:v>
                </c:pt>
                <c:pt idx="118">
                  <c:v>0.33390652147948963</c:v>
                </c:pt>
                <c:pt idx="119">
                  <c:v>-0.22006766713817871</c:v>
                </c:pt>
                <c:pt idx="120">
                  <c:v>1.0898939528474347</c:v>
                </c:pt>
                <c:pt idx="121">
                  <c:v>-0.83807642180512154</c:v>
                </c:pt>
                <c:pt idx="122">
                  <c:v>-2.026457100609532</c:v>
                </c:pt>
                <c:pt idx="123">
                  <c:v>0.11720910333797896</c:v>
                </c:pt>
                <c:pt idx="124">
                  <c:v>0.24558693582058311</c:v>
                </c:pt>
                <c:pt idx="125">
                  <c:v>1.4726504169952399</c:v>
                </c:pt>
                <c:pt idx="126">
                  <c:v>-3.9771741141803663</c:v>
                </c:pt>
                <c:pt idx="127">
                  <c:v>2.2003310010084807</c:v>
                </c:pt>
                <c:pt idx="128">
                  <c:v>2.4445083854604093</c:v>
                </c:pt>
                <c:pt idx="129">
                  <c:v>1.8158935085111629</c:v>
                </c:pt>
                <c:pt idx="130">
                  <c:v>-8.8276871017695449</c:v>
                </c:pt>
                <c:pt idx="131">
                  <c:v>-2.8777981924671643</c:v>
                </c:pt>
                <c:pt idx="132">
                  <c:v>-2.7491501160707132</c:v>
                </c:pt>
                <c:pt idx="133">
                  <c:v>0.33307692890003437</c:v>
                </c:pt>
                <c:pt idx="134">
                  <c:v>-1.0368038962198298</c:v>
                </c:pt>
                <c:pt idx="135">
                  <c:v>-2.401413849249673</c:v>
                </c:pt>
                <c:pt idx="136">
                  <c:v>-1.9534862676325329</c:v>
                </c:pt>
                <c:pt idx="137">
                  <c:v>-5.1251984901998782E-2</c:v>
                </c:pt>
                <c:pt idx="138">
                  <c:v>-0.16842795485224116</c:v>
                </c:pt>
                <c:pt idx="139">
                  <c:v>1.0245236813006109</c:v>
                </c:pt>
                <c:pt idx="140">
                  <c:v>1.4103590267528734</c:v>
                </c:pt>
                <c:pt idx="141">
                  <c:v>0.80097068093684953</c:v>
                </c:pt>
                <c:pt idx="142">
                  <c:v>0.85013073225088576</c:v>
                </c:pt>
                <c:pt idx="143">
                  <c:v>1.6351973801334161</c:v>
                </c:pt>
                <c:pt idx="144">
                  <c:v>1.3086659666942406</c:v>
                </c:pt>
                <c:pt idx="145">
                  <c:v>0.59146127838600471</c:v>
                </c:pt>
                <c:pt idx="146">
                  <c:v>-2.0942236773337211</c:v>
                </c:pt>
                <c:pt idx="147">
                  <c:v>2.1391389685775799</c:v>
                </c:pt>
                <c:pt idx="148">
                  <c:v>-1.3633594113626888</c:v>
                </c:pt>
                <c:pt idx="149">
                  <c:v>0.27272889886965146</c:v>
                </c:pt>
                <c:pt idx="150">
                  <c:v>-2.2672053413809259</c:v>
                </c:pt>
                <c:pt idx="151">
                  <c:v>1.5904622994931561</c:v>
                </c:pt>
                <c:pt idx="152">
                  <c:v>0.23999969556302858</c:v>
                </c:pt>
                <c:pt idx="153">
                  <c:v>0.7760986800796239</c:v>
                </c:pt>
                <c:pt idx="154">
                  <c:v>9.8383040946334432E-2</c:v>
                </c:pt>
                <c:pt idx="155">
                  <c:v>-2.1075589017356027</c:v>
                </c:pt>
                <c:pt idx="156">
                  <c:v>-8.4851915018083091E-2</c:v>
                </c:pt>
                <c:pt idx="157">
                  <c:v>8.5688800260534492E-2</c:v>
                </c:pt>
                <c:pt idx="158">
                  <c:v>-3.0841986600493803</c:v>
                </c:pt>
                <c:pt idx="159">
                  <c:v>0.50085177203944475</c:v>
                </c:pt>
                <c:pt idx="160">
                  <c:v>0.1861670196690266</c:v>
                </c:pt>
                <c:pt idx="161">
                  <c:v>-0.25914568366462021</c:v>
                </c:pt>
                <c:pt idx="162">
                  <c:v>-4.6782057588425019E-2</c:v>
                </c:pt>
                <c:pt idx="163">
                  <c:v>0.64836392450748903</c:v>
                </c:pt>
                <c:pt idx="164">
                  <c:v>0.83170539689975875</c:v>
                </c:pt>
                <c:pt idx="165">
                  <c:v>-2.3237213762700524</c:v>
                </c:pt>
                <c:pt idx="166">
                  <c:v>-2.8243953095180281</c:v>
                </c:pt>
                <c:pt idx="167">
                  <c:v>-1.1632467725862572</c:v>
                </c:pt>
                <c:pt idx="168">
                  <c:v>-8.6142800575039757E-2</c:v>
                </c:pt>
                <c:pt idx="169">
                  <c:v>-2.941556296290063</c:v>
                </c:pt>
                <c:pt idx="170">
                  <c:v>1.0050200335010979</c:v>
                </c:pt>
                <c:pt idx="171">
                  <c:v>0.14172626975058655</c:v>
                </c:pt>
                <c:pt idx="172">
                  <c:v>-7.6923787190210646E-3</c:v>
                </c:pt>
                <c:pt idx="173">
                  <c:v>-0.27093887332392264</c:v>
                </c:pt>
                <c:pt idx="174">
                  <c:v>-2.2443574174052916</c:v>
                </c:pt>
                <c:pt idx="175">
                  <c:v>2.2131296858163161</c:v>
                </c:pt>
                <c:pt idx="176">
                  <c:v>0.22062729725232444</c:v>
                </c:pt>
                <c:pt idx="177">
                  <c:v>-0.46204640283491116</c:v>
                </c:pt>
                <c:pt idx="178">
                  <c:v>-4.2109972207731019</c:v>
                </c:pt>
                <c:pt idx="179">
                  <c:v>0.21544505149228499</c:v>
                </c:pt>
                <c:pt idx="180">
                  <c:v>-8.7199699509453055E-2</c:v>
                </c:pt>
                <c:pt idx="181">
                  <c:v>-1.7280991834582391</c:v>
                </c:pt>
                <c:pt idx="182">
                  <c:v>2.1453300028750197</c:v>
                </c:pt>
                <c:pt idx="183">
                  <c:v>2.0668998705352521</c:v>
                </c:pt>
                <c:pt idx="184">
                  <c:v>-0.93852095512278311</c:v>
                </c:pt>
                <c:pt idx="185">
                  <c:v>1.7969894128056048</c:v>
                </c:pt>
                <c:pt idx="186">
                  <c:v>0.60862686891426421</c:v>
                </c:pt>
                <c:pt idx="187">
                  <c:v>0.22355777183471304</c:v>
                </c:pt>
                <c:pt idx="188">
                  <c:v>-2.7443064806089961</c:v>
                </c:pt>
                <c:pt idx="189">
                  <c:v>0.64837589300832121</c:v>
                </c:pt>
                <c:pt idx="190">
                  <c:v>-1.689159100639456</c:v>
                </c:pt>
                <c:pt idx="191">
                  <c:v>1.4759806741963182</c:v>
                </c:pt>
                <c:pt idx="192">
                  <c:v>1.4337704394853574</c:v>
                </c:pt>
                <c:pt idx="193">
                  <c:v>1.1130420329686039</c:v>
                </c:pt>
                <c:pt idx="194">
                  <c:v>0.80469956183435443</c:v>
                </c:pt>
                <c:pt idx="195">
                  <c:v>2.2296575155332121</c:v>
                </c:pt>
                <c:pt idx="196">
                  <c:v>1.5346876393869877</c:v>
                </c:pt>
                <c:pt idx="197">
                  <c:v>1.4079183067762457E-2</c:v>
                </c:pt>
                <c:pt idx="198">
                  <c:v>1.7326785082371821</c:v>
                </c:pt>
                <c:pt idx="199">
                  <c:v>-1.7731955356842057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66-4B85-A93F-C8C83E06C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068816"/>
        <c:axId val="1363199952"/>
      </c:scatterChart>
      <c:valAx>
        <c:axId val="105906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3199952"/>
        <c:crosses val="autoZero"/>
        <c:crossBetween val="midCat"/>
      </c:valAx>
      <c:valAx>
        <c:axId val="1363199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9068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Radio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advertising!$C$2:$C$201</c:f>
              <c:numCache>
                <c:formatCode>General</c:formatCode>
                <c:ptCount val="200"/>
                <c:pt idx="0">
                  <c:v>37.799999999999997</c:v>
                </c:pt>
                <c:pt idx="1">
                  <c:v>39.299999999999997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32.799999999999997</c:v>
                </c:pt>
                <c:pt idx="7">
                  <c:v>19.600000000000001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5.0999999999999996</c:v>
                </c:pt>
                <c:pt idx="22">
                  <c:v>15.9</c:v>
                </c:pt>
                <c:pt idx="23">
                  <c:v>16.899999999999999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17.399999999999999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4.0999999999999996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37.700000000000003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9.3000000000000007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24.6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4.0999999999999996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18.399999999999999</c:v>
                </c:pt>
                <c:pt idx="86">
                  <c:v>27.5</c:v>
                </c:pt>
                <c:pt idx="87">
                  <c:v>40.6</c:v>
                </c:pt>
                <c:pt idx="88">
                  <c:v>25.5</c:v>
                </c:pt>
                <c:pt idx="89">
                  <c:v>47.8</c:v>
                </c:pt>
                <c:pt idx="90">
                  <c:v>4.9000000000000004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36.299999999999997</c:v>
                </c:pt>
                <c:pt idx="102">
                  <c:v>10.1</c:v>
                </c:pt>
                <c:pt idx="103">
                  <c:v>17.2</c:v>
                </c:pt>
                <c:pt idx="104">
                  <c:v>34.299999999999997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8.1999999999999993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32.299999999999997</c:v>
                </c:pt>
                <c:pt idx="125">
                  <c:v>11.8</c:v>
                </c:pt>
                <c:pt idx="126">
                  <c:v>38.9</c:v>
                </c:pt>
                <c:pt idx="127">
                  <c:v>0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33.200000000000003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40.299999999999997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39.700000000000003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18.399999999999999</c:v>
                </c:pt>
                <c:pt idx="160">
                  <c:v>18.100000000000001</c:v>
                </c:pt>
                <c:pt idx="161">
                  <c:v>35.799999999999997</c:v>
                </c:pt>
                <c:pt idx="162">
                  <c:v>18.100000000000001</c:v>
                </c:pt>
                <c:pt idx="163">
                  <c:v>36.799999999999997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20.100000000000001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2.2999999999999998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4.0999999999999996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4.9000000000000004</c:v>
                </c:pt>
                <c:pt idx="197">
                  <c:v>9.3000000000000007</c:v>
                </c:pt>
                <c:pt idx="198">
                  <c:v>42</c:v>
                </c:pt>
                <c:pt idx="199">
                  <c:v>8.6</c:v>
                </c:pt>
              </c:numCache>
            </c:numRef>
          </c:xVal>
          <c:yVal>
            <c:numRef>
              <c:f>Sheet1!$C$27:$C$226</c:f>
              <c:numCache>
                <c:formatCode>General</c:formatCode>
                <c:ptCount val="200"/>
                <c:pt idx="0">
                  <c:v>1.5760255902848392</c:v>
                </c:pt>
                <c:pt idx="1">
                  <c:v>-1.9378548208943602</c:v>
                </c:pt>
                <c:pt idx="2">
                  <c:v>-3.0076707799942284</c:v>
                </c:pt>
                <c:pt idx="3">
                  <c:v>0.9021704883108761</c:v>
                </c:pt>
                <c:pt idx="4">
                  <c:v>-0.28867185683128938</c:v>
                </c:pt>
                <c:pt idx="5">
                  <c:v>-5.2783476340358471</c:v>
                </c:pt>
                <c:pt idx="6">
                  <c:v>7.0240048436314595E-2</c:v>
                </c:pt>
                <c:pt idx="7">
                  <c:v>1.0770468344977147</c:v>
                </c:pt>
                <c:pt idx="8">
                  <c:v>1.0726591371384107</c:v>
                </c:pt>
                <c:pt idx="9">
                  <c:v>-1.9508487229346851</c:v>
                </c:pt>
                <c:pt idx="10">
                  <c:v>1.5677007994411447</c:v>
                </c:pt>
                <c:pt idx="11">
                  <c:v>0.11487081739972638</c:v>
                </c:pt>
                <c:pt idx="12">
                  <c:v>-1.377120733627665</c:v>
                </c:pt>
                <c:pt idx="13">
                  <c:v>0.87369951996679696</c:v>
                </c:pt>
                <c:pt idx="14">
                  <c:v>0.56563361643893018</c:v>
                </c:pt>
                <c:pt idx="15">
                  <c:v>1.5807004835045433</c:v>
                </c:pt>
                <c:pt idx="16">
                  <c:v>-0.32365674369935604</c:v>
                </c:pt>
                <c:pt idx="17">
                  <c:v>1.1750428412009946</c:v>
                </c:pt>
                <c:pt idx="18">
                  <c:v>1.3483179408811985</c:v>
                </c:pt>
                <c:pt idx="19">
                  <c:v>0.43392706772673684</c:v>
                </c:pt>
                <c:pt idx="20">
                  <c:v>-0.10076727708427313</c:v>
                </c:pt>
                <c:pt idx="21">
                  <c:v>-2.2405382003554486</c:v>
                </c:pt>
                <c:pt idx="22">
                  <c:v>-0.88915030356329172</c:v>
                </c:pt>
                <c:pt idx="23">
                  <c:v>-1.0459328951314539</c:v>
                </c:pt>
                <c:pt idx="24">
                  <c:v>1.5534811281772551</c:v>
                </c:pt>
                <c:pt idx="25">
                  <c:v>-3.6100386045688637</c:v>
                </c:pt>
                <c:pt idx="26">
                  <c:v>1.0485711596086134E-2</c:v>
                </c:pt>
                <c:pt idx="27">
                  <c:v>-1.1516734351616744</c:v>
                </c:pt>
                <c:pt idx="28">
                  <c:v>-0.51053802657296288</c:v>
                </c:pt>
                <c:pt idx="29">
                  <c:v>1.3559761068312763</c:v>
                </c:pt>
                <c:pt idx="30">
                  <c:v>-0.23393380269557085</c:v>
                </c:pt>
                <c:pt idx="31">
                  <c:v>0.5539070956890253</c:v>
                </c:pt>
                <c:pt idx="32">
                  <c:v>1.9611168581729208</c:v>
                </c:pt>
                <c:pt idx="33">
                  <c:v>-1.4642682928643538</c:v>
                </c:pt>
                <c:pt idx="34">
                  <c:v>1.9251694852878751</c:v>
                </c:pt>
                <c:pt idx="35">
                  <c:v>-4.2068261818470774</c:v>
                </c:pt>
                <c:pt idx="36">
                  <c:v>1.9940994826900038</c:v>
                </c:pt>
                <c:pt idx="37">
                  <c:v>-0.92347778869574348</c:v>
                </c:pt>
                <c:pt idx="38">
                  <c:v>0.19131896548780958</c:v>
                </c:pt>
                <c:pt idx="39">
                  <c:v>1.052389606252877</c:v>
                </c:pt>
                <c:pt idx="40">
                  <c:v>0.22233532868887096</c:v>
                </c:pt>
                <c:pt idx="41">
                  <c:v>-0.19598319938897646</c:v>
                </c:pt>
                <c:pt idx="42">
                  <c:v>-0.89580325632194757</c:v>
                </c:pt>
                <c:pt idx="43">
                  <c:v>-1.0638568399727149</c:v>
                </c:pt>
                <c:pt idx="44">
                  <c:v>-0.38787995644852558</c:v>
                </c:pt>
                <c:pt idx="45">
                  <c:v>-0.26152313852112563</c:v>
                </c:pt>
                <c:pt idx="46">
                  <c:v>1.7266132673176013</c:v>
                </c:pt>
                <c:pt idx="47">
                  <c:v>1.4773701049710404</c:v>
                </c:pt>
                <c:pt idx="48">
                  <c:v>-1.4636201814138019</c:v>
                </c:pt>
                <c:pt idx="49">
                  <c:v>1.5318343955946219</c:v>
                </c:pt>
                <c:pt idx="50">
                  <c:v>-1.2312113246246046</c:v>
                </c:pt>
                <c:pt idx="51">
                  <c:v>1.3601870393568198</c:v>
                </c:pt>
                <c:pt idx="52">
                  <c:v>1.9370243729854941</c:v>
                </c:pt>
                <c:pt idx="53">
                  <c:v>1.2553004303573019</c:v>
                </c:pt>
                <c:pt idx="54">
                  <c:v>-0.1744300784612669</c:v>
                </c:pt>
                <c:pt idx="55">
                  <c:v>2.4073893962512862</c:v>
                </c:pt>
                <c:pt idx="56">
                  <c:v>-3.0277125447268425</c:v>
                </c:pt>
                <c:pt idx="57">
                  <c:v>0.4254119791910167</c:v>
                </c:pt>
                <c:pt idx="58">
                  <c:v>1.9019480171011978</c:v>
                </c:pt>
                <c:pt idx="59">
                  <c:v>0.26651301929631899</c:v>
                </c:pt>
                <c:pt idx="60">
                  <c:v>2.3578444159493959</c:v>
                </c:pt>
                <c:pt idx="61">
                  <c:v>1.3093279200613246</c:v>
                </c:pt>
                <c:pt idx="62">
                  <c:v>-1.084260729108621</c:v>
                </c:pt>
                <c:pt idx="63">
                  <c:v>0.78930798304920557</c:v>
                </c:pt>
                <c:pt idx="64">
                  <c:v>1.0222644361663846</c:v>
                </c:pt>
                <c:pt idx="65">
                  <c:v>1.4509546805170812</c:v>
                </c:pt>
                <c:pt idx="66">
                  <c:v>0.48396836720118053</c:v>
                </c:pt>
                <c:pt idx="67">
                  <c:v>1.3629927023229982</c:v>
                </c:pt>
                <c:pt idx="68">
                  <c:v>-7.6579242354178234E-2</c:v>
                </c:pt>
                <c:pt idx="69">
                  <c:v>1.1910875638565734</c:v>
                </c:pt>
                <c:pt idx="70">
                  <c:v>0.52050218341770815</c:v>
                </c:pt>
                <c:pt idx="71">
                  <c:v>1.7730618470541071</c:v>
                </c:pt>
                <c:pt idx="72">
                  <c:v>-1.5668488102450215</c:v>
                </c:pt>
                <c:pt idx="73">
                  <c:v>1.0970179444078791</c:v>
                </c:pt>
                <c:pt idx="74">
                  <c:v>-0.32931196697264298</c:v>
                </c:pt>
                <c:pt idx="75">
                  <c:v>-3.1583217389837888</c:v>
                </c:pt>
                <c:pt idx="76">
                  <c:v>2.4224109594272827</c:v>
                </c:pt>
                <c:pt idx="77">
                  <c:v>0.38809777219951691</c:v>
                </c:pt>
                <c:pt idx="78">
                  <c:v>-3.5133135261735964</c:v>
                </c:pt>
                <c:pt idx="79">
                  <c:v>1.3246967167254926</c:v>
                </c:pt>
                <c:pt idx="80">
                  <c:v>0.35407636087937533</c:v>
                </c:pt>
                <c:pt idx="81">
                  <c:v>-2.3479409257610158</c:v>
                </c:pt>
                <c:pt idx="82">
                  <c:v>1.1215920081900794</c:v>
                </c:pt>
                <c:pt idx="83">
                  <c:v>-0.8218421191565497</c:v>
                </c:pt>
                <c:pt idx="84">
                  <c:v>0.91863536316611416</c:v>
                </c:pt>
                <c:pt idx="85">
                  <c:v>1.8592110153504038E-2</c:v>
                </c:pt>
                <c:pt idx="86">
                  <c:v>0.40129260572274994</c:v>
                </c:pt>
                <c:pt idx="87">
                  <c:v>0.4062152520334763</c:v>
                </c:pt>
                <c:pt idx="88">
                  <c:v>1.1887289947325268</c:v>
                </c:pt>
                <c:pt idx="89">
                  <c:v>-0.2222551067689551</c:v>
                </c:pt>
                <c:pt idx="90">
                  <c:v>1.2007703482765191</c:v>
                </c:pt>
                <c:pt idx="91">
                  <c:v>2.8036840155406226</c:v>
                </c:pt>
                <c:pt idx="92">
                  <c:v>0.24360383764678772</c:v>
                </c:pt>
                <c:pt idx="93">
                  <c:v>0.97242621523790973</c:v>
                </c:pt>
                <c:pt idx="94">
                  <c:v>1.0178761459390149</c:v>
                </c:pt>
                <c:pt idx="95">
                  <c:v>0.58507887500589817</c:v>
                </c:pt>
                <c:pt idx="96">
                  <c:v>-0.93571716170908026</c:v>
                </c:pt>
                <c:pt idx="97">
                  <c:v>0.16292217748976157</c:v>
                </c:pt>
                <c:pt idx="98">
                  <c:v>1.2813927702466508</c:v>
                </c:pt>
                <c:pt idx="99">
                  <c:v>0.25964979013137324</c:v>
                </c:pt>
                <c:pt idx="100">
                  <c:v>-2.1759584379727972</c:v>
                </c:pt>
                <c:pt idx="101">
                  <c:v>0.55751315141578672</c:v>
                </c:pt>
                <c:pt idx="102">
                  <c:v>-2.8440938458266842</c:v>
                </c:pt>
                <c:pt idx="103">
                  <c:v>-6.2211416061408897E-2</c:v>
                </c:pt>
                <c:pt idx="104">
                  <c:v>0.39889121589560261</c:v>
                </c:pt>
                <c:pt idx="105">
                  <c:v>1.2635853267426782</c:v>
                </c:pt>
                <c:pt idx="106">
                  <c:v>1.0739778514169416</c:v>
                </c:pt>
                <c:pt idx="107">
                  <c:v>1.5914975148826302</c:v>
                </c:pt>
                <c:pt idx="108">
                  <c:v>1.7127415901949847</c:v>
                </c:pt>
                <c:pt idx="109">
                  <c:v>0.10706893786597149</c:v>
                </c:pt>
                <c:pt idx="110">
                  <c:v>-1.3598740951175525</c:v>
                </c:pt>
                <c:pt idx="111">
                  <c:v>0.65972501966468045</c:v>
                </c:pt>
                <c:pt idx="112">
                  <c:v>0.21939014678882884</c:v>
                </c:pt>
                <c:pt idx="113">
                  <c:v>-0.50377622987125825</c:v>
                </c:pt>
                <c:pt idx="114">
                  <c:v>-0.7050959258780356</c:v>
                </c:pt>
                <c:pt idx="115">
                  <c:v>-0.31968895195842606</c:v>
                </c:pt>
                <c:pt idx="116">
                  <c:v>0.22125256310631336</c:v>
                </c:pt>
                <c:pt idx="117">
                  <c:v>2.8292226012422947</c:v>
                </c:pt>
                <c:pt idx="118">
                  <c:v>0.33390652147948963</c:v>
                </c:pt>
                <c:pt idx="119">
                  <c:v>-0.22006766713817871</c:v>
                </c:pt>
                <c:pt idx="120">
                  <c:v>1.0898939528474347</c:v>
                </c:pt>
                <c:pt idx="121">
                  <c:v>-0.83807642180512154</c:v>
                </c:pt>
                <c:pt idx="122">
                  <c:v>-2.026457100609532</c:v>
                </c:pt>
                <c:pt idx="123">
                  <c:v>0.11720910333797896</c:v>
                </c:pt>
                <c:pt idx="124">
                  <c:v>0.24558693582058311</c:v>
                </c:pt>
                <c:pt idx="125">
                  <c:v>1.4726504169952399</c:v>
                </c:pt>
                <c:pt idx="126">
                  <c:v>-3.9771741141803663</c:v>
                </c:pt>
                <c:pt idx="127">
                  <c:v>2.2003310010084807</c:v>
                </c:pt>
                <c:pt idx="128">
                  <c:v>2.4445083854604093</c:v>
                </c:pt>
                <c:pt idx="129">
                  <c:v>1.8158935085111629</c:v>
                </c:pt>
                <c:pt idx="130">
                  <c:v>-8.8276871017695449</c:v>
                </c:pt>
                <c:pt idx="131">
                  <c:v>-2.8777981924671643</c:v>
                </c:pt>
                <c:pt idx="132">
                  <c:v>-2.7491501160707132</c:v>
                </c:pt>
                <c:pt idx="133">
                  <c:v>0.33307692890003437</c:v>
                </c:pt>
                <c:pt idx="134">
                  <c:v>-1.0368038962198298</c:v>
                </c:pt>
                <c:pt idx="135">
                  <c:v>-2.401413849249673</c:v>
                </c:pt>
                <c:pt idx="136">
                  <c:v>-1.9534862676325329</c:v>
                </c:pt>
                <c:pt idx="137">
                  <c:v>-5.1251984901998782E-2</c:v>
                </c:pt>
                <c:pt idx="138">
                  <c:v>-0.16842795485224116</c:v>
                </c:pt>
                <c:pt idx="139">
                  <c:v>1.0245236813006109</c:v>
                </c:pt>
                <c:pt idx="140">
                  <c:v>1.4103590267528734</c:v>
                </c:pt>
                <c:pt idx="141">
                  <c:v>0.80097068093684953</c:v>
                </c:pt>
                <c:pt idx="142">
                  <c:v>0.85013073225088576</c:v>
                </c:pt>
                <c:pt idx="143">
                  <c:v>1.6351973801334161</c:v>
                </c:pt>
                <c:pt idx="144">
                  <c:v>1.3086659666942406</c:v>
                </c:pt>
                <c:pt idx="145">
                  <c:v>0.59146127838600471</c:v>
                </c:pt>
                <c:pt idx="146">
                  <c:v>-2.0942236773337211</c:v>
                </c:pt>
                <c:pt idx="147">
                  <c:v>2.1391389685775799</c:v>
                </c:pt>
                <c:pt idx="148">
                  <c:v>-1.3633594113626888</c:v>
                </c:pt>
                <c:pt idx="149">
                  <c:v>0.27272889886965146</c:v>
                </c:pt>
                <c:pt idx="150">
                  <c:v>-2.2672053413809259</c:v>
                </c:pt>
                <c:pt idx="151">
                  <c:v>1.5904622994931561</c:v>
                </c:pt>
                <c:pt idx="152">
                  <c:v>0.23999969556302858</c:v>
                </c:pt>
                <c:pt idx="153">
                  <c:v>0.7760986800796239</c:v>
                </c:pt>
                <c:pt idx="154">
                  <c:v>9.8383040946334432E-2</c:v>
                </c:pt>
                <c:pt idx="155">
                  <c:v>-2.1075589017356027</c:v>
                </c:pt>
                <c:pt idx="156">
                  <c:v>-8.4851915018083091E-2</c:v>
                </c:pt>
                <c:pt idx="157">
                  <c:v>8.5688800260534492E-2</c:v>
                </c:pt>
                <c:pt idx="158">
                  <c:v>-3.0841986600493803</c:v>
                </c:pt>
                <c:pt idx="159">
                  <c:v>0.50085177203944475</c:v>
                </c:pt>
                <c:pt idx="160">
                  <c:v>0.1861670196690266</c:v>
                </c:pt>
                <c:pt idx="161">
                  <c:v>-0.25914568366462021</c:v>
                </c:pt>
                <c:pt idx="162">
                  <c:v>-4.6782057588425019E-2</c:v>
                </c:pt>
                <c:pt idx="163">
                  <c:v>0.64836392450748903</c:v>
                </c:pt>
                <c:pt idx="164">
                  <c:v>0.83170539689975875</c:v>
                </c:pt>
                <c:pt idx="165">
                  <c:v>-2.3237213762700524</c:v>
                </c:pt>
                <c:pt idx="166">
                  <c:v>-2.8243953095180281</c:v>
                </c:pt>
                <c:pt idx="167">
                  <c:v>-1.1632467725862572</c:v>
                </c:pt>
                <c:pt idx="168">
                  <c:v>-8.6142800575039757E-2</c:v>
                </c:pt>
                <c:pt idx="169">
                  <c:v>-2.941556296290063</c:v>
                </c:pt>
                <c:pt idx="170">
                  <c:v>1.0050200335010979</c:v>
                </c:pt>
                <c:pt idx="171">
                  <c:v>0.14172626975058655</c:v>
                </c:pt>
                <c:pt idx="172">
                  <c:v>-7.6923787190210646E-3</c:v>
                </c:pt>
                <c:pt idx="173">
                  <c:v>-0.27093887332392264</c:v>
                </c:pt>
                <c:pt idx="174">
                  <c:v>-2.2443574174052916</c:v>
                </c:pt>
                <c:pt idx="175">
                  <c:v>2.2131296858163161</c:v>
                </c:pt>
                <c:pt idx="176">
                  <c:v>0.22062729725232444</c:v>
                </c:pt>
                <c:pt idx="177">
                  <c:v>-0.46204640283491116</c:v>
                </c:pt>
                <c:pt idx="178">
                  <c:v>-4.2109972207731019</c:v>
                </c:pt>
                <c:pt idx="179">
                  <c:v>0.21544505149228499</c:v>
                </c:pt>
                <c:pt idx="180">
                  <c:v>-8.7199699509453055E-2</c:v>
                </c:pt>
                <c:pt idx="181">
                  <c:v>-1.7280991834582391</c:v>
                </c:pt>
                <c:pt idx="182">
                  <c:v>2.1453300028750197</c:v>
                </c:pt>
                <c:pt idx="183">
                  <c:v>2.0668998705352521</c:v>
                </c:pt>
                <c:pt idx="184">
                  <c:v>-0.93852095512278311</c:v>
                </c:pt>
                <c:pt idx="185">
                  <c:v>1.7969894128056048</c:v>
                </c:pt>
                <c:pt idx="186">
                  <c:v>0.60862686891426421</c:v>
                </c:pt>
                <c:pt idx="187">
                  <c:v>0.22355777183471304</c:v>
                </c:pt>
                <c:pt idx="188">
                  <c:v>-2.7443064806089961</c:v>
                </c:pt>
                <c:pt idx="189">
                  <c:v>0.64837589300832121</c:v>
                </c:pt>
                <c:pt idx="190">
                  <c:v>-1.689159100639456</c:v>
                </c:pt>
                <c:pt idx="191">
                  <c:v>1.4759806741963182</c:v>
                </c:pt>
                <c:pt idx="192">
                  <c:v>1.4337704394853574</c:v>
                </c:pt>
                <c:pt idx="193">
                  <c:v>1.1130420329686039</c:v>
                </c:pt>
                <c:pt idx="194">
                  <c:v>0.80469956183435443</c:v>
                </c:pt>
                <c:pt idx="195">
                  <c:v>2.2296575155332121</c:v>
                </c:pt>
                <c:pt idx="196">
                  <c:v>1.5346876393869877</c:v>
                </c:pt>
                <c:pt idx="197">
                  <c:v>1.4079183067762457E-2</c:v>
                </c:pt>
                <c:pt idx="198">
                  <c:v>1.7326785082371821</c:v>
                </c:pt>
                <c:pt idx="199">
                  <c:v>-1.7731955356842057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56-4388-9585-EAFA9FB25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068816"/>
        <c:axId val="1501471088"/>
      </c:scatterChart>
      <c:valAx>
        <c:axId val="1059068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1471088"/>
        <c:crosses val="autoZero"/>
        <c:crossBetween val="midCat"/>
      </c:valAx>
      <c:valAx>
        <c:axId val="1501471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906881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Newspaper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advertising!$D$2:$D$201</c:f>
              <c:numCache>
                <c:formatCode>General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65.900000000000006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114</c:v>
                </c:pt>
                <c:pt idx="17">
                  <c:v>55.8</c:v>
                </c:pt>
                <c:pt idx="18">
                  <c:v>18.3</c:v>
                </c:pt>
                <c:pt idx="19">
                  <c:v>19.100000000000001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40.799999999999997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38.700000000000003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35.700000000000003</c:v>
                </c:pt>
                <c:pt idx="47">
                  <c:v>18.5</c:v>
                </c:pt>
                <c:pt idx="48">
                  <c:v>49.9</c:v>
                </c:pt>
                <c:pt idx="49">
                  <c:v>36.799999999999997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16.600000000000001</c:v>
                </c:pt>
                <c:pt idx="58">
                  <c:v>37.700000000000003</c:v>
                </c:pt>
                <c:pt idx="59">
                  <c:v>9.3000000000000007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2.2000000000000002</c:v>
                </c:pt>
                <c:pt idx="67">
                  <c:v>10.199999999999999</c:v>
                </c:pt>
                <c:pt idx="68">
                  <c:v>11</c:v>
                </c:pt>
                <c:pt idx="69">
                  <c:v>27.2</c:v>
                </c:pt>
                <c:pt idx="70">
                  <c:v>38.700000000000003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33.799999999999997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73.400000000000006</c:v>
                </c:pt>
                <c:pt idx="89">
                  <c:v>51.4</c:v>
                </c:pt>
                <c:pt idx="90">
                  <c:v>9.3000000000000007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100.9</c:v>
                </c:pt>
                <c:pt idx="102">
                  <c:v>21.4</c:v>
                </c:pt>
                <c:pt idx="103">
                  <c:v>17.899999999999999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9.1999999999999993</c:v>
                </c:pt>
                <c:pt idx="128">
                  <c:v>3.2</c:v>
                </c:pt>
                <c:pt idx="129">
                  <c:v>43.1</c:v>
                </c:pt>
                <c:pt idx="130">
                  <c:v>8.6999999999999993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65.599999999999994</c:v>
                </c:pt>
                <c:pt idx="135">
                  <c:v>8.5</c:v>
                </c:pt>
                <c:pt idx="136">
                  <c:v>9.3000000000000007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75.599999999999994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8.6999999999999993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37.700000000000003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25.6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19.399999999999999</c:v>
                </c:pt>
                <c:pt idx="168">
                  <c:v>57.6</c:v>
                </c:pt>
                <c:pt idx="169">
                  <c:v>6.4</c:v>
                </c:pt>
                <c:pt idx="170">
                  <c:v>18.399999999999999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35.200000000000003</c:v>
                </c:pt>
                <c:pt idx="178">
                  <c:v>23.7</c:v>
                </c:pt>
                <c:pt idx="179">
                  <c:v>17.600000000000001</c:v>
                </c:pt>
                <c:pt idx="180">
                  <c:v>8.3000000000000007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19.600000000000001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8.6999999999999993</c:v>
                </c:pt>
              </c:numCache>
            </c:numRef>
          </c:xVal>
          <c:yVal>
            <c:numRef>
              <c:f>Sheet1!$C$27:$C$226</c:f>
              <c:numCache>
                <c:formatCode>General</c:formatCode>
                <c:ptCount val="200"/>
                <c:pt idx="0">
                  <c:v>1.5760255902848392</c:v>
                </c:pt>
                <c:pt idx="1">
                  <c:v>-1.9378548208943602</c:v>
                </c:pt>
                <c:pt idx="2">
                  <c:v>-3.0076707799942284</c:v>
                </c:pt>
                <c:pt idx="3">
                  <c:v>0.9021704883108761</c:v>
                </c:pt>
                <c:pt idx="4">
                  <c:v>-0.28867185683128938</c:v>
                </c:pt>
                <c:pt idx="5">
                  <c:v>-5.2783476340358471</c:v>
                </c:pt>
                <c:pt idx="6">
                  <c:v>7.0240048436314595E-2</c:v>
                </c:pt>
                <c:pt idx="7">
                  <c:v>1.0770468344977147</c:v>
                </c:pt>
                <c:pt idx="8">
                  <c:v>1.0726591371384107</c:v>
                </c:pt>
                <c:pt idx="9">
                  <c:v>-1.9508487229346851</c:v>
                </c:pt>
                <c:pt idx="10">
                  <c:v>1.5677007994411447</c:v>
                </c:pt>
                <c:pt idx="11">
                  <c:v>0.11487081739972638</c:v>
                </c:pt>
                <c:pt idx="12">
                  <c:v>-1.377120733627665</c:v>
                </c:pt>
                <c:pt idx="13">
                  <c:v>0.87369951996679696</c:v>
                </c:pt>
                <c:pt idx="14">
                  <c:v>0.56563361643893018</c:v>
                </c:pt>
                <c:pt idx="15">
                  <c:v>1.5807004835045433</c:v>
                </c:pt>
                <c:pt idx="16">
                  <c:v>-0.32365674369935604</c:v>
                </c:pt>
                <c:pt idx="17">
                  <c:v>1.1750428412009946</c:v>
                </c:pt>
                <c:pt idx="18">
                  <c:v>1.3483179408811985</c:v>
                </c:pt>
                <c:pt idx="19">
                  <c:v>0.43392706772673684</c:v>
                </c:pt>
                <c:pt idx="20">
                  <c:v>-0.10076727708427313</c:v>
                </c:pt>
                <c:pt idx="21">
                  <c:v>-2.2405382003554486</c:v>
                </c:pt>
                <c:pt idx="22">
                  <c:v>-0.88915030356329172</c:v>
                </c:pt>
                <c:pt idx="23">
                  <c:v>-1.0459328951314539</c:v>
                </c:pt>
                <c:pt idx="24">
                  <c:v>1.5534811281772551</c:v>
                </c:pt>
                <c:pt idx="25">
                  <c:v>-3.6100386045688637</c:v>
                </c:pt>
                <c:pt idx="26">
                  <c:v>1.0485711596086134E-2</c:v>
                </c:pt>
                <c:pt idx="27">
                  <c:v>-1.1516734351616744</c:v>
                </c:pt>
                <c:pt idx="28">
                  <c:v>-0.51053802657296288</c:v>
                </c:pt>
                <c:pt idx="29">
                  <c:v>1.3559761068312763</c:v>
                </c:pt>
                <c:pt idx="30">
                  <c:v>-0.23393380269557085</c:v>
                </c:pt>
                <c:pt idx="31">
                  <c:v>0.5539070956890253</c:v>
                </c:pt>
                <c:pt idx="32">
                  <c:v>1.9611168581729208</c:v>
                </c:pt>
                <c:pt idx="33">
                  <c:v>-1.4642682928643538</c:v>
                </c:pt>
                <c:pt idx="34">
                  <c:v>1.9251694852878751</c:v>
                </c:pt>
                <c:pt idx="35">
                  <c:v>-4.2068261818470774</c:v>
                </c:pt>
                <c:pt idx="36">
                  <c:v>1.9940994826900038</c:v>
                </c:pt>
                <c:pt idx="37">
                  <c:v>-0.92347778869574348</c:v>
                </c:pt>
                <c:pt idx="38">
                  <c:v>0.19131896548780958</c:v>
                </c:pt>
                <c:pt idx="39">
                  <c:v>1.052389606252877</c:v>
                </c:pt>
                <c:pt idx="40">
                  <c:v>0.22233532868887096</c:v>
                </c:pt>
                <c:pt idx="41">
                  <c:v>-0.19598319938897646</c:v>
                </c:pt>
                <c:pt idx="42">
                  <c:v>-0.89580325632194757</c:v>
                </c:pt>
                <c:pt idx="43">
                  <c:v>-1.0638568399727149</c:v>
                </c:pt>
                <c:pt idx="44">
                  <c:v>-0.38787995644852558</c:v>
                </c:pt>
                <c:pt idx="45">
                  <c:v>-0.26152313852112563</c:v>
                </c:pt>
                <c:pt idx="46">
                  <c:v>1.7266132673176013</c:v>
                </c:pt>
                <c:pt idx="47">
                  <c:v>1.4773701049710404</c:v>
                </c:pt>
                <c:pt idx="48">
                  <c:v>-1.4636201814138019</c:v>
                </c:pt>
                <c:pt idx="49">
                  <c:v>1.5318343955946219</c:v>
                </c:pt>
                <c:pt idx="50">
                  <c:v>-1.2312113246246046</c:v>
                </c:pt>
                <c:pt idx="51">
                  <c:v>1.3601870393568198</c:v>
                </c:pt>
                <c:pt idx="52">
                  <c:v>1.9370243729854941</c:v>
                </c:pt>
                <c:pt idx="53">
                  <c:v>1.2553004303573019</c:v>
                </c:pt>
                <c:pt idx="54">
                  <c:v>-0.1744300784612669</c:v>
                </c:pt>
                <c:pt idx="55">
                  <c:v>2.4073893962512862</c:v>
                </c:pt>
                <c:pt idx="56">
                  <c:v>-3.0277125447268425</c:v>
                </c:pt>
                <c:pt idx="57">
                  <c:v>0.4254119791910167</c:v>
                </c:pt>
                <c:pt idx="58">
                  <c:v>1.9019480171011978</c:v>
                </c:pt>
                <c:pt idx="59">
                  <c:v>0.26651301929631899</c:v>
                </c:pt>
                <c:pt idx="60">
                  <c:v>2.3578444159493959</c:v>
                </c:pt>
                <c:pt idx="61">
                  <c:v>1.3093279200613246</c:v>
                </c:pt>
                <c:pt idx="62">
                  <c:v>-1.084260729108621</c:v>
                </c:pt>
                <c:pt idx="63">
                  <c:v>0.78930798304920557</c:v>
                </c:pt>
                <c:pt idx="64">
                  <c:v>1.0222644361663846</c:v>
                </c:pt>
                <c:pt idx="65">
                  <c:v>1.4509546805170812</c:v>
                </c:pt>
                <c:pt idx="66">
                  <c:v>0.48396836720118053</c:v>
                </c:pt>
                <c:pt idx="67">
                  <c:v>1.3629927023229982</c:v>
                </c:pt>
                <c:pt idx="68">
                  <c:v>-7.6579242354178234E-2</c:v>
                </c:pt>
                <c:pt idx="69">
                  <c:v>1.1910875638565734</c:v>
                </c:pt>
                <c:pt idx="70">
                  <c:v>0.52050218341770815</c:v>
                </c:pt>
                <c:pt idx="71">
                  <c:v>1.7730618470541071</c:v>
                </c:pt>
                <c:pt idx="72">
                  <c:v>-1.5668488102450215</c:v>
                </c:pt>
                <c:pt idx="73">
                  <c:v>1.0970179444078791</c:v>
                </c:pt>
                <c:pt idx="74">
                  <c:v>-0.32931196697264298</c:v>
                </c:pt>
                <c:pt idx="75">
                  <c:v>-3.1583217389837888</c:v>
                </c:pt>
                <c:pt idx="76">
                  <c:v>2.4224109594272827</c:v>
                </c:pt>
                <c:pt idx="77">
                  <c:v>0.38809777219951691</c:v>
                </c:pt>
                <c:pt idx="78">
                  <c:v>-3.5133135261735964</c:v>
                </c:pt>
                <c:pt idx="79">
                  <c:v>1.3246967167254926</c:v>
                </c:pt>
                <c:pt idx="80">
                  <c:v>0.35407636087937533</c:v>
                </c:pt>
                <c:pt idx="81">
                  <c:v>-2.3479409257610158</c:v>
                </c:pt>
                <c:pt idx="82">
                  <c:v>1.1215920081900794</c:v>
                </c:pt>
                <c:pt idx="83">
                  <c:v>-0.8218421191565497</c:v>
                </c:pt>
                <c:pt idx="84">
                  <c:v>0.91863536316611416</c:v>
                </c:pt>
                <c:pt idx="85">
                  <c:v>1.8592110153504038E-2</c:v>
                </c:pt>
                <c:pt idx="86">
                  <c:v>0.40129260572274994</c:v>
                </c:pt>
                <c:pt idx="87">
                  <c:v>0.4062152520334763</c:v>
                </c:pt>
                <c:pt idx="88">
                  <c:v>1.1887289947325268</c:v>
                </c:pt>
                <c:pt idx="89">
                  <c:v>-0.2222551067689551</c:v>
                </c:pt>
                <c:pt idx="90">
                  <c:v>1.2007703482765191</c:v>
                </c:pt>
                <c:pt idx="91">
                  <c:v>2.8036840155406226</c:v>
                </c:pt>
                <c:pt idx="92">
                  <c:v>0.24360383764678772</c:v>
                </c:pt>
                <c:pt idx="93">
                  <c:v>0.97242621523790973</c:v>
                </c:pt>
                <c:pt idx="94">
                  <c:v>1.0178761459390149</c:v>
                </c:pt>
                <c:pt idx="95">
                  <c:v>0.58507887500589817</c:v>
                </c:pt>
                <c:pt idx="96">
                  <c:v>-0.93571716170908026</c:v>
                </c:pt>
                <c:pt idx="97">
                  <c:v>0.16292217748976157</c:v>
                </c:pt>
                <c:pt idx="98">
                  <c:v>1.2813927702466508</c:v>
                </c:pt>
                <c:pt idx="99">
                  <c:v>0.25964979013137324</c:v>
                </c:pt>
                <c:pt idx="100">
                  <c:v>-2.1759584379727972</c:v>
                </c:pt>
                <c:pt idx="101">
                  <c:v>0.55751315141578672</c:v>
                </c:pt>
                <c:pt idx="102">
                  <c:v>-2.8440938458266842</c:v>
                </c:pt>
                <c:pt idx="103">
                  <c:v>-6.2211416061408897E-2</c:v>
                </c:pt>
                <c:pt idx="104">
                  <c:v>0.39889121589560261</c:v>
                </c:pt>
                <c:pt idx="105">
                  <c:v>1.2635853267426782</c:v>
                </c:pt>
                <c:pt idx="106">
                  <c:v>1.0739778514169416</c:v>
                </c:pt>
                <c:pt idx="107">
                  <c:v>1.5914975148826302</c:v>
                </c:pt>
                <c:pt idx="108">
                  <c:v>1.7127415901949847</c:v>
                </c:pt>
                <c:pt idx="109">
                  <c:v>0.10706893786597149</c:v>
                </c:pt>
                <c:pt idx="110">
                  <c:v>-1.3598740951175525</c:v>
                </c:pt>
                <c:pt idx="111">
                  <c:v>0.65972501966468045</c:v>
                </c:pt>
                <c:pt idx="112">
                  <c:v>0.21939014678882884</c:v>
                </c:pt>
                <c:pt idx="113">
                  <c:v>-0.50377622987125825</c:v>
                </c:pt>
                <c:pt idx="114">
                  <c:v>-0.7050959258780356</c:v>
                </c:pt>
                <c:pt idx="115">
                  <c:v>-0.31968895195842606</c:v>
                </c:pt>
                <c:pt idx="116">
                  <c:v>0.22125256310631336</c:v>
                </c:pt>
                <c:pt idx="117">
                  <c:v>2.8292226012422947</c:v>
                </c:pt>
                <c:pt idx="118">
                  <c:v>0.33390652147948963</c:v>
                </c:pt>
                <c:pt idx="119">
                  <c:v>-0.22006766713817871</c:v>
                </c:pt>
                <c:pt idx="120">
                  <c:v>1.0898939528474347</c:v>
                </c:pt>
                <c:pt idx="121">
                  <c:v>-0.83807642180512154</c:v>
                </c:pt>
                <c:pt idx="122">
                  <c:v>-2.026457100609532</c:v>
                </c:pt>
                <c:pt idx="123">
                  <c:v>0.11720910333797896</c:v>
                </c:pt>
                <c:pt idx="124">
                  <c:v>0.24558693582058311</c:v>
                </c:pt>
                <c:pt idx="125">
                  <c:v>1.4726504169952399</c:v>
                </c:pt>
                <c:pt idx="126">
                  <c:v>-3.9771741141803663</c:v>
                </c:pt>
                <c:pt idx="127">
                  <c:v>2.2003310010084807</c:v>
                </c:pt>
                <c:pt idx="128">
                  <c:v>2.4445083854604093</c:v>
                </c:pt>
                <c:pt idx="129">
                  <c:v>1.8158935085111629</c:v>
                </c:pt>
                <c:pt idx="130">
                  <c:v>-8.8276871017695449</c:v>
                </c:pt>
                <c:pt idx="131">
                  <c:v>-2.8777981924671643</c:v>
                </c:pt>
                <c:pt idx="132">
                  <c:v>-2.7491501160707132</c:v>
                </c:pt>
                <c:pt idx="133">
                  <c:v>0.33307692890003437</c:v>
                </c:pt>
                <c:pt idx="134">
                  <c:v>-1.0368038962198298</c:v>
                </c:pt>
                <c:pt idx="135">
                  <c:v>-2.401413849249673</c:v>
                </c:pt>
                <c:pt idx="136">
                  <c:v>-1.9534862676325329</c:v>
                </c:pt>
                <c:pt idx="137">
                  <c:v>-5.1251984901998782E-2</c:v>
                </c:pt>
                <c:pt idx="138">
                  <c:v>-0.16842795485224116</c:v>
                </c:pt>
                <c:pt idx="139">
                  <c:v>1.0245236813006109</c:v>
                </c:pt>
                <c:pt idx="140">
                  <c:v>1.4103590267528734</c:v>
                </c:pt>
                <c:pt idx="141">
                  <c:v>0.80097068093684953</c:v>
                </c:pt>
                <c:pt idx="142">
                  <c:v>0.85013073225088576</c:v>
                </c:pt>
                <c:pt idx="143">
                  <c:v>1.6351973801334161</c:v>
                </c:pt>
                <c:pt idx="144">
                  <c:v>1.3086659666942406</c:v>
                </c:pt>
                <c:pt idx="145">
                  <c:v>0.59146127838600471</c:v>
                </c:pt>
                <c:pt idx="146">
                  <c:v>-2.0942236773337211</c:v>
                </c:pt>
                <c:pt idx="147">
                  <c:v>2.1391389685775799</c:v>
                </c:pt>
                <c:pt idx="148">
                  <c:v>-1.3633594113626888</c:v>
                </c:pt>
                <c:pt idx="149">
                  <c:v>0.27272889886965146</c:v>
                </c:pt>
                <c:pt idx="150">
                  <c:v>-2.2672053413809259</c:v>
                </c:pt>
                <c:pt idx="151">
                  <c:v>1.5904622994931561</c:v>
                </c:pt>
                <c:pt idx="152">
                  <c:v>0.23999969556302858</c:v>
                </c:pt>
                <c:pt idx="153">
                  <c:v>0.7760986800796239</c:v>
                </c:pt>
                <c:pt idx="154">
                  <c:v>9.8383040946334432E-2</c:v>
                </c:pt>
                <c:pt idx="155">
                  <c:v>-2.1075589017356027</c:v>
                </c:pt>
                <c:pt idx="156">
                  <c:v>-8.4851915018083091E-2</c:v>
                </c:pt>
                <c:pt idx="157">
                  <c:v>8.5688800260534492E-2</c:v>
                </c:pt>
                <c:pt idx="158">
                  <c:v>-3.0841986600493803</c:v>
                </c:pt>
                <c:pt idx="159">
                  <c:v>0.50085177203944475</c:v>
                </c:pt>
                <c:pt idx="160">
                  <c:v>0.1861670196690266</c:v>
                </c:pt>
                <c:pt idx="161">
                  <c:v>-0.25914568366462021</c:v>
                </c:pt>
                <c:pt idx="162">
                  <c:v>-4.6782057588425019E-2</c:v>
                </c:pt>
                <c:pt idx="163">
                  <c:v>0.64836392450748903</c:v>
                </c:pt>
                <c:pt idx="164">
                  <c:v>0.83170539689975875</c:v>
                </c:pt>
                <c:pt idx="165">
                  <c:v>-2.3237213762700524</c:v>
                </c:pt>
                <c:pt idx="166">
                  <c:v>-2.8243953095180281</c:v>
                </c:pt>
                <c:pt idx="167">
                  <c:v>-1.1632467725862572</c:v>
                </c:pt>
                <c:pt idx="168">
                  <c:v>-8.6142800575039757E-2</c:v>
                </c:pt>
                <c:pt idx="169">
                  <c:v>-2.941556296290063</c:v>
                </c:pt>
                <c:pt idx="170">
                  <c:v>1.0050200335010979</c:v>
                </c:pt>
                <c:pt idx="171">
                  <c:v>0.14172626975058655</c:v>
                </c:pt>
                <c:pt idx="172">
                  <c:v>-7.6923787190210646E-3</c:v>
                </c:pt>
                <c:pt idx="173">
                  <c:v>-0.27093887332392264</c:v>
                </c:pt>
                <c:pt idx="174">
                  <c:v>-2.2443574174052916</c:v>
                </c:pt>
                <c:pt idx="175">
                  <c:v>2.2131296858163161</c:v>
                </c:pt>
                <c:pt idx="176">
                  <c:v>0.22062729725232444</c:v>
                </c:pt>
                <c:pt idx="177">
                  <c:v>-0.46204640283491116</c:v>
                </c:pt>
                <c:pt idx="178">
                  <c:v>-4.2109972207731019</c:v>
                </c:pt>
                <c:pt idx="179">
                  <c:v>0.21544505149228499</c:v>
                </c:pt>
                <c:pt idx="180">
                  <c:v>-8.7199699509453055E-2</c:v>
                </c:pt>
                <c:pt idx="181">
                  <c:v>-1.7280991834582391</c:v>
                </c:pt>
                <c:pt idx="182">
                  <c:v>2.1453300028750197</c:v>
                </c:pt>
                <c:pt idx="183">
                  <c:v>2.0668998705352521</c:v>
                </c:pt>
                <c:pt idx="184">
                  <c:v>-0.93852095512278311</c:v>
                </c:pt>
                <c:pt idx="185">
                  <c:v>1.7969894128056048</c:v>
                </c:pt>
                <c:pt idx="186">
                  <c:v>0.60862686891426421</c:v>
                </c:pt>
                <c:pt idx="187">
                  <c:v>0.22355777183471304</c:v>
                </c:pt>
                <c:pt idx="188">
                  <c:v>-2.7443064806089961</c:v>
                </c:pt>
                <c:pt idx="189">
                  <c:v>0.64837589300832121</c:v>
                </c:pt>
                <c:pt idx="190">
                  <c:v>-1.689159100639456</c:v>
                </c:pt>
                <c:pt idx="191">
                  <c:v>1.4759806741963182</c:v>
                </c:pt>
                <c:pt idx="192">
                  <c:v>1.4337704394853574</c:v>
                </c:pt>
                <c:pt idx="193">
                  <c:v>1.1130420329686039</c:v>
                </c:pt>
                <c:pt idx="194">
                  <c:v>0.80469956183435443</c:v>
                </c:pt>
                <c:pt idx="195">
                  <c:v>2.2296575155332121</c:v>
                </c:pt>
                <c:pt idx="196">
                  <c:v>1.5346876393869877</c:v>
                </c:pt>
                <c:pt idx="197">
                  <c:v>1.4079183067762457E-2</c:v>
                </c:pt>
                <c:pt idx="198">
                  <c:v>1.7326785082371821</c:v>
                </c:pt>
                <c:pt idx="199">
                  <c:v>-1.7731955356842057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0B-477A-AFE6-443771D46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983776"/>
        <c:axId val="1534077792"/>
      </c:scatterChart>
      <c:valAx>
        <c:axId val="96898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Newspaper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34077792"/>
        <c:crosses val="autoZero"/>
        <c:crossBetween val="midCat"/>
      </c:valAx>
      <c:valAx>
        <c:axId val="15340777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898377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TV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advertising!$B$2:$B$201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advertising!$E$2:$E$201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D4-448B-8D24-75DC816E0DD8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advertising!$B$2:$B$201</c:f>
              <c:numCache>
                <c:formatCode>General</c:formatCode>
                <c:ptCount val="200"/>
                <c:pt idx="0">
                  <c:v>230.1</c:v>
                </c:pt>
                <c:pt idx="1">
                  <c:v>44.5</c:v>
                </c:pt>
                <c:pt idx="2">
                  <c:v>17.2</c:v>
                </c:pt>
                <c:pt idx="3">
                  <c:v>151.5</c:v>
                </c:pt>
                <c:pt idx="4">
                  <c:v>180.8</c:v>
                </c:pt>
                <c:pt idx="5">
                  <c:v>8.6999999999999993</c:v>
                </c:pt>
                <c:pt idx="6">
                  <c:v>57.5</c:v>
                </c:pt>
                <c:pt idx="7">
                  <c:v>120.2</c:v>
                </c:pt>
                <c:pt idx="8">
                  <c:v>8.6</c:v>
                </c:pt>
                <c:pt idx="9">
                  <c:v>199.8</c:v>
                </c:pt>
                <c:pt idx="10">
                  <c:v>66.099999999999994</c:v>
                </c:pt>
                <c:pt idx="11">
                  <c:v>214.7</c:v>
                </c:pt>
                <c:pt idx="12">
                  <c:v>23.8</c:v>
                </c:pt>
                <c:pt idx="13">
                  <c:v>97.5</c:v>
                </c:pt>
                <c:pt idx="14">
                  <c:v>204.1</c:v>
                </c:pt>
                <c:pt idx="15">
                  <c:v>195.4</c:v>
                </c:pt>
                <c:pt idx="16">
                  <c:v>67.8</c:v>
                </c:pt>
                <c:pt idx="17">
                  <c:v>281.39999999999998</c:v>
                </c:pt>
                <c:pt idx="18">
                  <c:v>69.2</c:v>
                </c:pt>
                <c:pt idx="19">
                  <c:v>147.30000000000001</c:v>
                </c:pt>
                <c:pt idx="20">
                  <c:v>218.4</c:v>
                </c:pt>
                <c:pt idx="21">
                  <c:v>237.4</c:v>
                </c:pt>
                <c:pt idx="22">
                  <c:v>13.2</c:v>
                </c:pt>
                <c:pt idx="23">
                  <c:v>228.3</c:v>
                </c:pt>
                <c:pt idx="24">
                  <c:v>62.3</c:v>
                </c:pt>
                <c:pt idx="25">
                  <c:v>262.89999999999998</c:v>
                </c:pt>
                <c:pt idx="26">
                  <c:v>142.9</c:v>
                </c:pt>
                <c:pt idx="27">
                  <c:v>240.1</c:v>
                </c:pt>
                <c:pt idx="28">
                  <c:v>248.8</c:v>
                </c:pt>
                <c:pt idx="29">
                  <c:v>70.599999999999994</c:v>
                </c:pt>
                <c:pt idx="30">
                  <c:v>292.89999999999998</c:v>
                </c:pt>
                <c:pt idx="31">
                  <c:v>112.9</c:v>
                </c:pt>
                <c:pt idx="32">
                  <c:v>97.2</c:v>
                </c:pt>
                <c:pt idx="33">
                  <c:v>265.60000000000002</c:v>
                </c:pt>
                <c:pt idx="34">
                  <c:v>95.7</c:v>
                </c:pt>
                <c:pt idx="35">
                  <c:v>290.7</c:v>
                </c:pt>
                <c:pt idx="36">
                  <c:v>266.89999999999998</c:v>
                </c:pt>
                <c:pt idx="37">
                  <c:v>74.7</c:v>
                </c:pt>
                <c:pt idx="38">
                  <c:v>43.1</c:v>
                </c:pt>
                <c:pt idx="39">
                  <c:v>228</c:v>
                </c:pt>
                <c:pt idx="40">
                  <c:v>202.5</c:v>
                </c:pt>
                <c:pt idx="41">
                  <c:v>177</c:v>
                </c:pt>
                <c:pt idx="42">
                  <c:v>293.60000000000002</c:v>
                </c:pt>
                <c:pt idx="43">
                  <c:v>206.9</c:v>
                </c:pt>
                <c:pt idx="44">
                  <c:v>25.1</c:v>
                </c:pt>
                <c:pt idx="45">
                  <c:v>175.1</c:v>
                </c:pt>
                <c:pt idx="46">
                  <c:v>89.7</c:v>
                </c:pt>
                <c:pt idx="47">
                  <c:v>239.9</c:v>
                </c:pt>
                <c:pt idx="48">
                  <c:v>227.2</c:v>
                </c:pt>
                <c:pt idx="49">
                  <c:v>66.900000000000006</c:v>
                </c:pt>
                <c:pt idx="50">
                  <c:v>199.8</c:v>
                </c:pt>
                <c:pt idx="51">
                  <c:v>100.4</c:v>
                </c:pt>
                <c:pt idx="52">
                  <c:v>216.4</c:v>
                </c:pt>
                <c:pt idx="53">
                  <c:v>182.6</c:v>
                </c:pt>
                <c:pt idx="54">
                  <c:v>262.7</c:v>
                </c:pt>
                <c:pt idx="55">
                  <c:v>198.9</c:v>
                </c:pt>
                <c:pt idx="56">
                  <c:v>7.3</c:v>
                </c:pt>
                <c:pt idx="57">
                  <c:v>136.19999999999999</c:v>
                </c:pt>
                <c:pt idx="58">
                  <c:v>210.8</c:v>
                </c:pt>
                <c:pt idx="59">
                  <c:v>210.7</c:v>
                </c:pt>
                <c:pt idx="60">
                  <c:v>53.5</c:v>
                </c:pt>
                <c:pt idx="61">
                  <c:v>261.3</c:v>
                </c:pt>
                <c:pt idx="62">
                  <c:v>239.3</c:v>
                </c:pt>
                <c:pt idx="63">
                  <c:v>102.7</c:v>
                </c:pt>
                <c:pt idx="64">
                  <c:v>131.1</c:v>
                </c:pt>
                <c:pt idx="65">
                  <c:v>69</c:v>
                </c:pt>
                <c:pt idx="66">
                  <c:v>31.5</c:v>
                </c:pt>
                <c:pt idx="67">
                  <c:v>139.30000000000001</c:v>
                </c:pt>
                <c:pt idx="68">
                  <c:v>237.4</c:v>
                </c:pt>
                <c:pt idx="69">
                  <c:v>216.8</c:v>
                </c:pt>
                <c:pt idx="70">
                  <c:v>199.1</c:v>
                </c:pt>
                <c:pt idx="71">
                  <c:v>109.8</c:v>
                </c:pt>
                <c:pt idx="72">
                  <c:v>26.8</c:v>
                </c:pt>
                <c:pt idx="73">
                  <c:v>129.4</c:v>
                </c:pt>
                <c:pt idx="74">
                  <c:v>213.4</c:v>
                </c:pt>
                <c:pt idx="75">
                  <c:v>16.899999999999999</c:v>
                </c:pt>
                <c:pt idx="76">
                  <c:v>27.5</c:v>
                </c:pt>
                <c:pt idx="77">
                  <c:v>120.5</c:v>
                </c:pt>
                <c:pt idx="78">
                  <c:v>5.4</c:v>
                </c:pt>
                <c:pt idx="79">
                  <c:v>116</c:v>
                </c:pt>
                <c:pt idx="80">
                  <c:v>76.400000000000006</c:v>
                </c:pt>
                <c:pt idx="81">
                  <c:v>239.8</c:v>
                </c:pt>
                <c:pt idx="82">
                  <c:v>75.3</c:v>
                </c:pt>
                <c:pt idx="83">
                  <c:v>68.400000000000006</c:v>
                </c:pt>
                <c:pt idx="84">
                  <c:v>213.5</c:v>
                </c:pt>
                <c:pt idx="85">
                  <c:v>193.2</c:v>
                </c:pt>
                <c:pt idx="86">
                  <c:v>76.3</c:v>
                </c:pt>
                <c:pt idx="87">
                  <c:v>110.7</c:v>
                </c:pt>
                <c:pt idx="88">
                  <c:v>88.3</c:v>
                </c:pt>
                <c:pt idx="89">
                  <c:v>109.8</c:v>
                </c:pt>
                <c:pt idx="90">
                  <c:v>134.30000000000001</c:v>
                </c:pt>
                <c:pt idx="91">
                  <c:v>28.6</c:v>
                </c:pt>
                <c:pt idx="92">
                  <c:v>217.7</c:v>
                </c:pt>
                <c:pt idx="93">
                  <c:v>250.9</c:v>
                </c:pt>
                <c:pt idx="94">
                  <c:v>107.4</c:v>
                </c:pt>
                <c:pt idx="95">
                  <c:v>163.30000000000001</c:v>
                </c:pt>
                <c:pt idx="96">
                  <c:v>197.6</c:v>
                </c:pt>
                <c:pt idx="97">
                  <c:v>184.9</c:v>
                </c:pt>
                <c:pt idx="98">
                  <c:v>289.7</c:v>
                </c:pt>
                <c:pt idx="99">
                  <c:v>135.19999999999999</c:v>
                </c:pt>
                <c:pt idx="100">
                  <c:v>222.4</c:v>
                </c:pt>
                <c:pt idx="101">
                  <c:v>296.39999999999998</c:v>
                </c:pt>
                <c:pt idx="102">
                  <c:v>280.2</c:v>
                </c:pt>
                <c:pt idx="103">
                  <c:v>187.9</c:v>
                </c:pt>
                <c:pt idx="104">
                  <c:v>238.2</c:v>
                </c:pt>
                <c:pt idx="105">
                  <c:v>137.9</c:v>
                </c:pt>
                <c:pt idx="106">
                  <c:v>25</c:v>
                </c:pt>
                <c:pt idx="107">
                  <c:v>90.4</c:v>
                </c:pt>
                <c:pt idx="108">
                  <c:v>13.1</c:v>
                </c:pt>
                <c:pt idx="109">
                  <c:v>255.4</c:v>
                </c:pt>
                <c:pt idx="110">
                  <c:v>225.8</c:v>
                </c:pt>
                <c:pt idx="111">
                  <c:v>241.7</c:v>
                </c:pt>
                <c:pt idx="112">
                  <c:v>175.7</c:v>
                </c:pt>
                <c:pt idx="113">
                  <c:v>209.6</c:v>
                </c:pt>
                <c:pt idx="114">
                  <c:v>78.2</c:v>
                </c:pt>
                <c:pt idx="115">
                  <c:v>75.099999999999994</c:v>
                </c:pt>
                <c:pt idx="116">
                  <c:v>139.19999999999999</c:v>
                </c:pt>
                <c:pt idx="117">
                  <c:v>76.400000000000006</c:v>
                </c:pt>
                <c:pt idx="118">
                  <c:v>125.7</c:v>
                </c:pt>
                <c:pt idx="119">
                  <c:v>19.399999999999999</c:v>
                </c:pt>
                <c:pt idx="120">
                  <c:v>141.30000000000001</c:v>
                </c:pt>
                <c:pt idx="121">
                  <c:v>18.8</c:v>
                </c:pt>
                <c:pt idx="122">
                  <c:v>224</c:v>
                </c:pt>
                <c:pt idx="123">
                  <c:v>123.1</c:v>
                </c:pt>
                <c:pt idx="124">
                  <c:v>229.5</c:v>
                </c:pt>
                <c:pt idx="125">
                  <c:v>87.2</c:v>
                </c:pt>
                <c:pt idx="126">
                  <c:v>7.8</c:v>
                </c:pt>
                <c:pt idx="127">
                  <c:v>80.2</c:v>
                </c:pt>
                <c:pt idx="128">
                  <c:v>220.3</c:v>
                </c:pt>
                <c:pt idx="129">
                  <c:v>59.6</c:v>
                </c:pt>
                <c:pt idx="130">
                  <c:v>0.7</c:v>
                </c:pt>
                <c:pt idx="131">
                  <c:v>265.2</c:v>
                </c:pt>
                <c:pt idx="132">
                  <c:v>8.4</c:v>
                </c:pt>
                <c:pt idx="133">
                  <c:v>219.8</c:v>
                </c:pt>
                <c:pt idx="134">
                  <c:v>36.9</c:v>
                </c:pt>
                <c:pt idx="135">
                  <c:v>48.3</c:v>
                </c:pt>
                <c:pt idx="136">
                  <c:v>25.6</c:v>
                </c:pt>
                <c:pt idx="137">
                  <c:v>273.7</c:v>
                </c:pt>
                <c:pt idx="138">
                  <c:v>43</c:v>
                </c:pt>
                <c:pt idx="139">
                  <c:v>184.9</c:v>
                </c:pt>
                <c:pt idx="140">
                  <c:v>73.400000000000006</c:v>
                </c:pt>
                <c:pt idx="141">
                  <c:v>193.7</c:v>
                </c:pt>
                <c:pt idx="142">
                  <c:v>220.5</c:v>
                </c:pt>
                <c:pt idx="143">
                  <c:v>104.6</c:v>
                </c:pt>
                <c:pt idx="144">
                  <c:v>96.2</c:v>
                </c:pt>
                <c:pt idx="145">
                  <c:v>140.30000000000001</c:v>
                </c:pt>
                <c:pt idx="146">
                  <c:v>240.1</c:v>
                </c:pt>
                <c:pt idx="147">
                  <c:v>243.2</c:v>
                </c:pt>
                <c:pt idx="148">
                  <c:v>38</c:v>
                </c:pt>
                <c:pt idx="149">
                  <c:v>44.7</c:v>
                </c:pt>
                <c:pt idx="150">
                  <c:v>280.7</c:v>
                </c:pt>
                <c:pt idx="151">
                  <c:v>121</c:v>
                </c:pt>
                <c:pt idx="152">
                  <c:v>197.6</c:v>
                </c:pt>
                <c:pt idx="153">
                  <c:v>171.3</c:v>
                </c:pt>
                <c:pt idx="154">
                  <c:v>187.8</c:v>
                </c:pt>
                <c:pt idx="155">
                  <c:v>4.0999999999999996</c:v>
                </c:pt>
                <c:pt idx="156">
                  <c:v>93.9</c:v>
                </c:pt>
                <c:pt idx="157">
                  <c:v>149.80000000000001</c:v>
                </c:pt>
                <c:pt idx="158">
                  <c:v>11.7</c:v>
                </c:pt>
                <c:pt idx="159">
                  <c:v>131.69999999999999</c:v>
                </c:pt>
                <c:pt idx="160">
                  <c:v>172.5</c:v>
                </c:pt>
                <c:pt idx="161">
                  <c:v>85.7</c:v>
                </c:pt>
                <c:pt idx="162">
                  <c:v>188.4</c:v>
                </c:pt>
                <c:pt idx="163">
                  <c:v>163.5</c:v>
                </c:pt>
                <c:pt idx="164">
                  <c:v>117.2</c:v>
                </c:pt>
                <c:pt idx="165">
                  <c:v>234.5</c:v>
                </c:pt>
                <c:pt idx="166">
                  <c:v>17.899999999999999</c:v>
                </c:pt>
                <c:pt idx="167">
                  <c:v>206.8</c:v>
                </c:pt>
                <c:pt idx="168">
                  <c:v>215.4</c:v>
                </c:pt>
                <c:pt idx="169">
                  <c:v>284.3</c:v>
                </c:pt>
                <c:pt idx="170">
                  <c:v>50</c:v>
                </c:pt>
                <c:pt idx="171">
                  <c:v>164.5</c:v>
                </c:pt>
                <c:pt idx="172">
                  <c:v>19.600000000000001</c:v>
                </c:pt>
                <c:pt idx="173">
                  <c:v>168.4</c:v>
                </c:pt>
                <c:pt idx="174">
                  <c:v>222.4</c:v>
                </c:pt>
                <c:pt idx="175">
                  <c:v>276.89999999999998</c:v>
                </c:pt>
                <c:pt idx="176">
                  <c:v>248.4</c:v>
                </c:pt>
                <c:pt idx="177">
                  <c:v>170.2</c:v>
                </c:pt>
                <c:pt idx="178">
                  <c:v>276.7</c:v>
                </c:pt>
                <c:pt idx="179">
                  <c:v>165.6</c:v>
                </c:pt>
                <c:pt idx="180">
                  <c:v>156.6</c:v>
                </c:pt>
                <c:pt idx="181">
                  <c:v>218.5</c:v>
                </c:pt>
                <c:pt idx="182">
                  <c:v>56.2</c:v>
                </c:pt>
                <c:pt idx="183">
                  <c:v>287.60000000000002</c:v>
                </c:pt>
                <c:pt idx="184">
                  <c:v>253.8</c:v>
                </c:pt>
                <c:pt idx="185">
                  <c:v>205</c:v>
                </c:pt>
                <c:pt idx="186">
                  <c:v>139.5</c:v>
                </c:pt>
                <c:pt idx="187">
                  <c:v>191.1</c:v>
                </c:pt>
                <c:pt idx="188">
                  <c:v>286</c:v>
                </c:pt>
                <c:pt idx="189">
                  <c:v>18.7</c:v>
                </c:pt>
                <c:pt idx="190">
                  <c:v>39.5</c:v>
                </c:pt>
                <c:pt idx="191">
                  <c:v>75.5</c:v>
                </c:pt>
                <c:pt idx="192">
                  <c:v>17.2</c:v>
                </c:pt>
                <c:pt idx="193">
                  <c:v>166.8</c:v>
                </c:pt>
                <c:pt idx="194">
                  <c:v>149.69999999999999</c:v>
                </c:pt>
                <c:pt idx="195">
                  <c:v>38.200000000000003</c:v>
                </c:pt>
                <c:pt idx="196">
                  <c:v>94.2</c:v>
                </c:pt>
                <c:pt idx="197">
                  <c:v>177</c:v>
                </c:pt>
                <c:pt idx="198">
                  <c:v>283.60000000000002</c:v>
                </c:pt>
                <c:pt idx="199">
                  <c:v>232.1</c:v>
                </c:pt>
              </c:numCache>
            </c:numRef>
          </c:xVal>
          <c:yVal>
            <c:numRef>
              <c:f>Sheet1!$B$27:$B$226</c:f>
              <c:numCache>
                <c:formatCode>General</c:formatCode>
                <c:ptCount val="200"/>
                <c:pt idx="0">
                  <c:v>20.523974409715162</c:v>
                </c:pt>
                <c:pt idx="1">
                  <c:v>12.337854820894361</c:v>
                </c:pt>
                <c:pt idx="2">
                  <c:v>12.307670779994229</c:v>
                </c:pt>
                <c:pt idx="3">
                  <c:v>17.597829511689124</c:v>
                </c:pt>
                <c:pt idx="4">
                  <c:v>13.18867185683129</c:v>
                </c:pt>
                <c:pt idx="5">
                  <c:v>12.478347634035847</c:v>
                </c:pt>
                <c:pt idx="6">
                  <c:v>11.729759951563686</c:v>
                </c:pt>
                <c:pt idx="7">
                  <c:v>12.122953165502285</c:v>
                </c:pt>
                <c:pt idx="8">
                  <c:v>3.7273408628615892</c:v>
                </c:pt>
                <c:pt idx="9">
                  <c:v>12.550848722934685</c:v>
                </c:pt>
                <c:pt idx="10">
                  <c:v>7.0322992005588549</c:v>
                </c:pt>
                <c:pt idx="11">
                  <c:v>17.285129182600272</c:v>
                </c:pt>
                <c:pt idx="12">
                  <c:v>10.577120733627664</c:v>
                </c:pt>
                <c:pt idx="13">
                  <c:v>8.8263004800332023</c:v>
                </c:pt>
                <c:pt idx="14">
                  <c:v>18.43436638356107</c:v>
                </c:pt>
                <c:pt idx="15">
                  <c:v>20.819299516495455</c:v>
                </c:pt>
                <c:pt idx="16">
                  <c:v>12.823656743699356</c:v>
                </c:pt>
                <c:pt idx="17">
                  <c:v>23.224957158799004</c:v>
                </c:pt>
                <c:pt idx="18">
                  <c:v>9.9516820591188022</c:v>
                </c:pt>
                <c:pt idx="19">
                  <c:v>14.166072932273263</c:v>
                </c:pt>
                <c:pt idx="20">
                  <c:v>18.100767277084273</c:v>
                </c:pt>
                <c:pt idx="21">
                  <c:v>14.740538200355449</c:v>
                </c:pt>
                <c:pt idx="22">
                  <c:v>6.4891503035632914</c:v>
                </c:pt>
                <c:pt idx="23">
                  <c:v>16.545932895131454</c:v>
                </c:pt>
                <c:pt idx="24">
                  <c:v>8.1465188718227441</c:v>
                </c:pt>
                <c:pt idx="25">
                  <c:v>15.610038604568864</c:v>
                </c:pt>
                <c:pt idx="26">
                  <c:v>14.989514288403914</c:v>
                </c:pt>
                <c:pt idx="27">
                  <c:v>17.051673435161675</c:v>
                </c:pt>
                <c:pt idx="28">
                  <c:v>19.410538026572961</c:v>
                </c:pt>
                <c:pt idx="29">
                  <c:v>9.1440238931687237</c:v>
                </c:pt>
                <c:pt idx="30">
                  <c:v>21.633933802695569</c:v>
                </c:pt>
                <c:pt idx="31">
                  <c:v>11.346092904310975</c:v>
                </c:pt>
                <c:pt idx="32">
                  <c:v>7.6388831418270788</c:v>
                </c:pt>
                <c:pt idx="33">
                  <c:v>18.864268292864352</c:v>
                </c:pt>
                <c:pt idx="34">
                  <c:v>7.5748305147121249</c:v>
                </c:pt>
                <c:pt idx="35">
                  <c:v>17.006826181847078</c:v>
                </c:pt>
                <c:pt idx="36">
                  <c:v>23.405900517309995</c:v>
                </c:pt>
                <c:pt idx="37">
                  <c:v>15.623477788695743</c:v>
                </c:pt>
                <c:pt idx="38">
                  <c:v>9.9086810345121901</c:v>
                </c:pt>
                <c:pt idx="39">
                  <c:v>20.447610393747123</c:v>
                </c:pt>
                <c:pt idx="40">
                  <c:v>16.37766467131113</c:v>
                </c:pt>
                <c:pt idx="41">
                  <c:v>17.295983199388978</c:v>
                </c:pt>
                <c:pt idx="42">
                  <c:v>21.595803256321947</c:v>
                </c:pt>
                <c:pt idx="43">
                  <c:v>13.963856839972715</c:v>
                </c:pt>
                <c:pt idx="44">
                  <c:v>8.8878799564485256</c:v>
                </c:pt>
                <c:pt idx="45">
                  <c:v>15.161523138521126</c:v>
                </c:pt>
                <c:pt idx="46">
                  <c:v>8.8733867326823983</c:v>
                </c:pt>
                <c:pt idx="47">
                  <c:v>21.722629895028959</c:v>
                </c:pt>
                <c:pt idx="48">
                  <c:v>16.263620181413803</c:v>
                </c:pt>
                <c:pt idx="49">
                  <c:v>8.1681656044053774</c:v>
                </c:pt>
                <c:pt idx="50">
                  <c:v>12.631211324624605</c:v>
                </c:pt>
                <c:pt idx="51">
                  <c:v>9.3398129606431795</c:v>
                </c:pt>
                <c:pt idx="52">
                  <c:v>20.662975627014507</c:v>
                </c:pt>
                <c:pt idx="53">
                  <c:v>19.944699569642697</c:v>
                </c:pt>
                <c:pt idx="54">
                  <c:v>20.374430078461266</c:v>
                </c:pt>
                <c:pt idx="55">
                  <c:v>21.292610603748713</c:v>
                </c:pt>
                <c:pt idx="56">
                  <c:v>8.5277125447268425</c:v>
                </c:pt>
                <c:pt idx="57">
                  <c:v>12.774588020808983</c:v>
                </c:pt>
                <c:pt idx="58">
                  <c:v>21.898051982898803</c:v>
                </c:pt>
                <c:pt idx="59">
                  <c:v>18.13348698070368</c:v>
                </c:pt>
                <c:pt idx="60">
                  <c:v>5.7421555840506038</c:v>
                </c:pt>
                <c:pt idx="61">
                  <c:v>22.890672079938675</c:v>
                </c:pt>
                <c:pt idx="62">
                  <c:v>16.78426072910862</c:v>
                </c:pt>
                <c:pt idx="63">
                  <c:v>13.210692016950794</c:v>
                </c:pt>
                <c:pt idx="64">
                  <c:v>16.977735563833615</c:v>
                </c:pt>
                <c:pt idx="65">
                  <c:v>7.8490453194829195</c:v>
                </c:pt>
                <c:pt idx="66">
                  <c:v>9.0160316327988195</c:v>
                </c:pt>
                <c:pt idx="67">
                  <c:v>12.037007297677002</c:v>
                </c:pt>
                <c:pt idx="68">
                  <c:v>18.976579242354177</c:v>
                </c:pt>
                <c:pt idx="69">
                  <c:v>21.108912436143427</c:v>
                </c:pt>
                <c:pt idx="70">
                  <c:v>17.779497816582293</c:v>
                </c:pt>
                <c:pt idx="71">
                  <c:v>10.626938152945893</c:v>
                </c:pt>
                <c:pt idx="72">
                  <c:v>10.366848810245022</c:v>
                </c:pt>
                <c:pt idx="73">
                  <c:v>9.9029820555921209</c:v>
                </c:pt>
                <c:pt idx="74">
                  <c:v>17.329311966972643</c:v>
                </c:pt>
                <c:pt idx="75">
                  <c:v>11.858321738983788</c:v>
                </c:pt>
                <c:pt idx="76">
                  <c:v>4.4775890405727177</c:v>
                </c:pt>
                <c:pt idx="77">
                  <c:v>13.811902227800482</c:v>
                </c:pt>
                <c:pt idx="78">
                  <c:v>8.8133135261735962</c:v>
                </c:pt>
                <c:pt idx="79">
                  <c:v>9.6753032832745074</c:v>
                </c:pt>
                <c:pt idx="80">
                  <c:v>11.445923639120625</c:v>
                </c:pt>
                <c:pt idx="81">
                  <c:v>14.647940925761016</c:v>
                </c:pt>
                <c:pt idx="82">
                  <c:v>10.178407991809921</c:v>
                </c:pt>
                <c:pt idx="83">
                  <c:v>14.421842119156549</c:v>
                </c:pt>
                <c:pt idx="84">
                  <c:v>20.781364636833885</c:v>
                </c:pt>
                <c:pt idx="85">
                  <c:v>15.181407889846495</c:v>
                </c:pt>
                <c:pt idx="86">
                  <c:v>11.59870739427725</c:v>
                </c:pt>
                <c:pt idx="87">
                  <c:v>15.593784747966524</c:v>
                </c:pt>
                <c:pt idx="88">
                  <c:v>11.711271005267474</c:v>
                </c:pt>
                <c:pt idx="89">
                  <c:v>16.922255106768954</c:v>
                </c:pt>
                <c:pt idx="90">
                  <c:v>9.9992296517234802</c:v>
                </c:pt>
                <c:pt idx="91">
                  <c:v>4.4963159844593772</c:v>
                </c:pt>
                <c:pt idx="92">
                  <c:v>19.156396162353211</c:v>
                </c:pt>
                <c:pt idx="93">
                  <c:v>21.22757378476209</c:v>
                </c:pt>
                <c:pt idx="94">
                  <c:v>10.482123854060985</c:v>
                </c:pt>
                <c:pt idx="95">
                  <c:v>16.3149211249941</c:v>
                </c:pt>
                <c:pt idx="96">
                  <c:v>12.63571716170908</c:v>
                </c:pt>
                <c:pt idx="97">
                  <c:v>15.337077822510238</c:v>
                </c:pt>
                <c:pt idx="98">
                  <c:v>24.118607229753348</c:v>
                </c:pt>
                <c:pt idx="99">
                  <c:v>16.940350209868626</c:v>
                </c:pt>
                <c:pt idx="100">
                  <c:v>13.875958437972796</c:v>
                </c:pt>
                <c:pt idx="101">
                  <c:v>23.242486848584214</c:v>
                </c:pt>
                <c:pt idx="102">
                  <c:v>17.644093845826685</c:v>
                </c:pt>
                <c:pt idx="103">
                  <c:v>14.762211416061408</c:v>
                </c:pt>
                <c:pt idx="104">
                  <c:v>20.301108784104397</c:v>
                </c:pt>
                <c:pt idx="105">
                  <c:v>17.936414673257321</c:v>
                </c:pt>
                <c:pt idx="106">
                  <c:v>6.1260221485830586</c:v>
                </c:pt>
                <c:pt idx="107">
                  <c:v>7.108502485117369</c:v>
                </c:pt>
                <c:pt idx="108">
                  <c:v>3.5872584098050151</c:v>
                </c:pt>
                <c:pt idx="109">
                  <c:v>19.692931062134029</c:v>
                </c:pt>
                <c:pt idx="110">
                  <c:v>14.759874095117553</c:v>
                </c:pt>
                <c:pt idx="111">
                  <c:v>21.14027498033532</c:v>
                </c:pt>
                <c:pt idx="112">
                  <c:v>13.880609853211171</c:v>
                </c:pt>
                <c:pt idx="113">
                  <c:v>16.403776229871259</c:v>
                </c:pt>
                <c:pt idx="114">
                  <c:v>15.305095925878035</c:v>
                </c:pt>
                <c:pt idx="115">
                  <c:v>12.919688951958426</c:v>
                </c:pt>
                <c:pt idx="116">
                  <c:v>11.978747436893686</c:v>
                </c:pt>
                <c:pt idx="117">
                  <c:v>6.5707773987577056</c:v>
                </c:pt>
                <c:pt idx="118">
                  <c:v>15.566093478520511</c:v>
                </c:pt>
                <c:pt idx="119">
                  <c:v>6.8200676671381784</c:v>
                </c:pt>
                <c:pt idx="120">
                  <c:v>14.410106047152565</c:v>
                </c:pt>
                <c:pt idx="121">
                  <c:v>7.8380764218051215</c:v>
                </c:pt>
                <c:pt idx="122">
                  <c:v>13.626457100609532</c:v>
                </c:pt>
                <c:pt idx="123">
                  <c:v>15.08279089666202</c:v>
                </c:pt>
                <c:pt idx="124">
                  <c:v>19.454413064179416</c:v>
                </c:pt>
                <c:pt idx="125">
                  <c:v>9.1273495830047597</c:v>
                </c:pt>
                <c:pt idx="126">
                  <c:v>10.577174114180366</c:v>
                </c:pt>
                <c:pt idx="127">
                  <c:v>6.59966899899152</c:v>
                </c:pt>
                <c:pt idx="128">
                  <c:v>22.25549161453959</c:v>
                </c:pt>
                <c:pt idx="129">
                  <c:v>7.8841064914888364</c:v>
                </c:pt>
                <c:pt idx="130">
                  <c:v>10.427687101769544</c:v>
                </c:pt>
                <c:pt idx="131">
                  <c:v>15.577798192467164</c:v>
                </c:pt>
                <c:pt idx="132">
                  <c:v>8.4491501160707134</c:v>
                </c:pt>
                <c:pt idx="133">
                  <c:v>19.266923071099967</c:v>
                </c:pt>
                <c:pt idx="134">
                  <c:v>11.836803896219831</c:v>
                </c:pt>
                <c:pt idx="135">
                  <c:v>14.001413849249673</c:v>
                </c:pt>
                <c:pt idx="136">
                  <c:v>11.453486267632533</c:v>
                </c:pt>
                <c:pt idx="137">
                  <c:v>20.851251984901999</c:v>
                </c:pt>
                <c:pt idx="138">
                  <c:v>9.7684279548522408</c:v>
                </c:pt>
                <c:pt idx="139">
                  <c:v>19.675476318699388</c:v>
                </c:pt>
                <c:pt idx="140">
                  <c:v>9.489640973247127</c:v>
                </c:pt>
                <c:pt idx="141">
                  <c:v>18.39902931906315</c:v>
                </c:pt>
                <c:pt idx="142">
                  <c:v>19.249869267749116</c:v>
                </c:pt>
                <c:pt idx="143">
                  <c:v>8.7648026198665843</c:v>
                </c:pt>
                <c:pt idx="144">
                  <c:v>10.09133403330576</c:v>
                </c:pt>
                <c:pt idx="145">
                  <c:v>9.708538721613996</c:v>
                </c:pt>
                <c:pt idx="146">
                  <c:v>15.29422367733372</c:v>
                </c:pt>
                <c:pt idx="147">
                  <c:v>23.260861031422419</c:v>
                </c:pt>
                <c:pt idx="148">
                  <c:v>12.263359411362689</c:v>
                </c:pt>
                <c:pt idx="149">
                  <c:v>9.8272711011303482</c:v>
                </c:pt>
                <c:pt idx="150">
                  <c:v>18.367205341380927</c:v>
                </c:pt>
                <c:pt idx="151">
                  <c:v>10.009537700506844</c:v>
                </c:pt>
                <c:pt idx="152">
                  <c:v>16.360000304436973</c:v>
                </c:pt>
                <c:pt idx="153">
                  <c:v>18.223901319920376</c:v>
                </c:pt>
                <c:pt idx="154">
                  <c:v>15.501616959053665</c:v>
                </c:pt>
                <c:pt idx="155">
                  <c:v>5.3075589017356029</c:v>
                </c:pt>
                <c:pt idx="156">
                  <c:v>15.384851915018084</c:v>
                </c:pt>
                <c:pt idx="157">
                  <c:v>10.014311199739465</c:v>
                </c:pt>
                <c:pt idx="158">
                  <c:v>10.38419866004938</c:v>
                </c:pt>
                <c:pt idx="159">
                  <c:v>12.399148227960556</c:v>
                </c:pt>
                <c:pt idx="160">
                  <c:v>14.213832980330974</c:v>
                </c:pt>
                <c:pt idx="161">
                  <c:v>13.559145683664621</c:v>
                </c:pt>
                <c:pt idx="162">
                  <c:v>14.946782057588425</c:v>
                </c:pt>
                <c:pt idx="163">
                  <c:v>17.351636075492511</c:v>
                </c:pt>
                <c:pt idx="164">
                  <c:v>11.068294603100242</c:v>
                </c:pt>
                <c:pt idx="165">
                  <c:v>14.223721376270053</c:v>
                </c:pt>
                <c:pt idx="166">
                  <c:v>10.824395309518028</c:v>
                </c:pt>
                <c:pt idx="167">
                  <c:v>13.363246772586256</c:v>
                </c:pt>
                <c:pt idx="168">
                  <c:v>17.186142800575041</c:v>
                </c:pt>
                <c:pt idx="169">
                  <c:v>17.941556296290063</c:v>
                </c:pt>
                <c:pt idx="170">
                  <c:v>7.3949799664989024</c:v>
                </c:pt>
                <c:pt idx="171">
                  <c:v>14.358273730249413</c:v>
                </c:pt>
                <c:pt idx="172">
                  <c:v>7.6076923787190207</c:v>
                </c:pt>
                <c:pt idx="173">
                  <c:v>11.970938873323922</c:v>
                </c:pt>
                <c:pt idx="174">
                  <c:v>13.744357417405292</c:v>
                </c:pt>
                <c:pt idx="175">
                  <c:v>24.786870314183684</c:v>
                </c:pt>
                <c:pt idx="176">
                  <c:v>19.979372702747675</c:v>
                </c:pt>
                <c:pt idx="177">
                  <c:v>12.16204640283491</c:v>
                </c:pt>
                <c:pt idx="178">
                  <c:v>16.010997220773103</c:v>
                </c:pt>
                <c:pt idx="179">
                  <c:v>12.384554948507715</c:v>
                </c:pt>
                <c:pt idx="180">
                  <c:v>10.587199699509453</c:v>
                </c:pt>
                <c:pt idx="181">
                  <c:v>13.928099183458238</c:v>
                </c:pt>
                <c:pt idx="182">
                  <c:v>6.5546699971249796</c:v>
                </c:pt>
                <c:pt idx="183">
                  <c:v>24.133100129464747</c:v>
                </c:pt>
                <c:pt idx="184">
                  <c:v>18.538520955122785</c:v>
                </c:pt>
                <c:pt idx="185">
                  <c:v>20.803010587194397</c:v>
                </c:pt>
                <c:pt idx="186">
                  <c:v>9.6913731310857365</c:v>
                </c:pt>
                <c:pt idx="187">
                  <c:v>17.076442228165288</c:v>
                </c:pt>
                <c:pt idx="188">
                  <c:v>18.644306480608996</c:v>
                </c:pt>
                <c:pt idx="189">
                  <c:v>6.051624106991679</c:v>
                </c:pt>
                <c:pt idx="190">
                  <c:v>12.489159100639457</c:v>
                </c:pt>
                <c:pt idx="191">
                  <c:v>8.4240193258036822</c:v>
                </c:pt>
                <c:pt idx="192">
                  <c:v>4.4662295605146429</c:v>
                </c:pt>
                <c:pt idx="193">
                  <c:v>18.486957967031397</c:v>
                </c:pt>
                <c:pt idx="194">
                  <c:v>16.495300438165646</c:v>
                </c:pt>
                <c:pt idx="195">
                  <c:v>5.3703424844667875</c:v>
                </c:pt>
                <c:pt idx="196">
                  <c:v>8.1653123606130116</c:v>
                </c:pt>
                <c:pt idx="197">
                  <c:v>12.785920816932238</c:v>
                </c:pt>
                <c:pt idx="198">
                  <c:v>23.767321491762818</c:v>
                </c:pt>
                <c:pt idx="199">
                  <c:v>15.173195535684206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D4-448B-8D24-75DC816E0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527984"/>
        <c:axId val="1543110336"/>
      </c:scatterChart>
      <c:valAx>
        <c:axId val="904527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43110336"/>
        <c:crosses val="autoZero"/>
        <c:crossBetween val="midCat"/>
      </c:valAx>
      <c:valAx>
        <c:axId val="1543110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45279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Radio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advertising!$C$2:$C$201</c:f>
              <c:numCache>
                <c:formatCode>General</c:formatCode>
                <c:ptCount val="200"/>
                <c:pt idx="0">
                  <c:v>37.799999999999997</c:v>
                </c:pt>
                <c:pt idx="1">
                  <c:v>39.299999999999997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32.799999999999997</c:v>
                </c:pt>
                <c:pt idx="7">
                  <c:v>19.600000000000001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5.0999999999999996</c:v>
                </c:pt>
                <c:pt idx="22">
                  <c:v>15.9</c:v>
                </c:pt>
                <c:pt idx="23">
                  <c:v>16.899999999999999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17.399999999999999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4.0999999999999996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37.700000000000003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9.3000000000000007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24.6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4.0999999999999996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18.399999999999999</c:v>
                </c:pt>
                <c:pt idx="86">
                  <c:v>27.5</c:v>
                </c:pt>
                <c:pt idx="87">
                  <c:v>40.6</c:v>
                </c:pt>
                <c:pt idx="88">
                  <c:v>25.5</c:v>
                </c:pt>
                <c:pt idx="89">
                  <c:v>47.8</c:v>
                </c:pt>
                <c:pt idx="90">
                  <c:v>4.9000000000000004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36.299999999999997</c:v>
                </c:pt>
                <c:pt idx="102">
                  <c:v>10.1</c:v>
                </c:pt>
                <c:pt idx="103">
                  <c:v>17.2</c:v>
                </c:pt>
                <c:pt idx="104">
                  <c:v>34.299999999999997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8.1999999999999993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32.299999999999997</c:v>
                </c:pt>
                <c:pt idx="125">
                  <c:v>11.8</c:v>
                </c:pt>
                <c:pt idx="126">
                  <c:v>38.9</c:v>
                </c:pt>
                <c:pt idx="127">
                  <c:v>0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33.200000000000003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40.299999999999997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39.700000000000003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18.399999999999999</c:v>
                </c:pt>
                <c:pt idx="160">
                  <c:v>18.100000000000001</c:v>
                </c:pt>
                <c:pt idx="161">
                  <c:v>35.799999999999997</c:v>
                </c:pt>
                <c:pt idx="162">
                  <c:v>18.100000000000001</c:v>
                </c:pt>
                <c:pt idx="163">
                  <c:v>36.799999999999997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20.100000000000001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2.2999999999999998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4.0999999999999996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4.9000000000000004</c:v>
                </c:pt>
                <c:pt idx="197">
                  <c:v>9.3000000000000007</c:v>
                </c:pt>
                <c:pt idx="198">
                  <c:v>42</c:v>
                </c:pt>
                <c:pt idx="199">
                  <c:v>8.6</c:v>
                </c:pt>
              </c:numCache>
            </c:numRef>
          </c:xVal>
          <c:yVal>
            <c:numRef>
              <c:f>advertising!$E$2:$E$201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F4-4046-94E4-D38A34AED4FA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advertising!$C$2:$C$201</c:f>
              <c:numCache>
                <c:formatCode>General</c:formatCode>
                <c:ptCount val="200"/>
                <c:pt idx="0">
                  <c:v>37.799999999999997</c:v>
                </c:pt>
                <c:pt idx="1">
                  <c:v>39.299999999999997</c:v>
                </c:pt>
                <c:pt idx="2">
                  <c:v>45.9</c:v>
                </c:pt>
                <c:pt idx="3">
                  <c:v>41.3</c:v>
                </c:pt>
                <c:pt idx="4">
                  <c:v>10.8</c:v>
                </c:pt>
                <c:pt idx="5">
                  <c:v>48.9</c:v>
                </c:pt>
                <c:pt idx="6">
                  <c:v>32.799999999999997</c:v>
                </c:pt>
                <c:pt idx="7">
                  <c:v>19.600000000000001</c:v>
                </c:pt>
                <c:pt idx="8">
                  <c:v>2.1</c:v>
                </c:pt>
                <c:pt idx="9">
                  <c:v>2.6</c:v>
                </c:pt>
                <c:pt idx="10">
                  <c:v>5.8</c:v>
                </c:pt>
                <c:pt idx="11">
                  <c:v>24</c:v>
                </c:pt>
                <c:pt idx="12">
                  <c:v>35.1</c:v>
                </c:pt>
                <c:pt idx="13">
                  <c:v>7.6</c:v>
                </c:pt>
                <c:pt idx="14">
                  <c:v>32.9</c:v>
                </c:pt>
                <c:pt idx="15">
                  <c:v>47.7</c:v>
                </c:pt>
                <c:pt idx="16">
                  <c:v>36.6</c:v>
                </c:pt>
                <c:pt idx="17">
                  <c:v>39.6</c:v>
                </c:pt>
                <c:pt idx="18">
                  <c:v>20.5</c:v>
                </c:pt>
                <c:pt idx="19">
                  <c:v>23.9</c:v>
                </c:pt>
                <c:pt idx="20">
                  <c:v>27.7</c:v>
                </c:pt>
                <c:pt idx="21">
                  <c:v>5.0999999999999996</c:v>
                </c:pt>
                <c:pt idx="22">
                  <c:v>15.9</c:v>
                </c:pt>
                <c:pt idx="23">
                  <c:v>16.899999999999999</c:v>
                </c:pt>
                <c:pt idx="24">
                  <c:v>12.6</c:v>
                </c:pt>
                <c:pt idx="25">
                  <c:v>3.5</c:v>
                </c:pt>
                <c:pt idx="26">
                  <c:v>29.3</c:v>
                </c:pt>
                <c:pt idx="27">
                  <c:v>16.7</c:v>
                </c:pt>
                <c:pt idx="28">
                  <c:v>27.1</c:v>
                </c:pt>
                <c:pt idx="29">
                  <c:v>16</c:v>
                </c:pt>
                <c:pt idx="30">
                  <c:v>28.3</c:v>
                </c:pt>
                <c:pt idx="31">
                  <c:v>17.399999999999999</c:v>
                </c:pt>
                <c:pt idx="32">
                  <c:v>1.5</c:v>
                </c:pt>
                <c:pt idx="33">
                  <c:v>20</c:v>
                </c:pt>
                <c:pt idx="34">
                  <c:v>1.4</c:v>
                </c:pt>
                <c:pt idx="35">
                  <c:v>4.0999999999999996</c:v>
                </c:pt>
                <c:pt idx="36">
                  <c:v>43.8</c:v>
                </c:pt>
                <c:pt idx="37">
                  <c:v>49.4</c:v>
                </c:pt>
                <c:pt idx="38">
                  <c:v>26.7</c:v>
                </c:pt>
                <c:pt idx="39">
                  <c:v>37.700000000000003</c:v>
                </c:pt>
                <c:pt idx="40">
                  <c:v>22.3</c:v>
                </c:pt>
                <c:pt idx="41">
                  <c:v>33.4</c:v>
                </c:pt>
                <c:pt idx="42">
                  <c:v>27.7</c:v>
                </c:pt>
                <c:pt idx="43">
                  <c:v>8.4</c:v>
                </c:pt>
                <c:pt idx="44">
                  <c:v>25.7</c:v>
                </c:pt>
                <c:pt idx="45">
                  <c:v>22.5</c:v>
                </c:pt>
                <c:pt idx="46">
                  <c:v>9.9</c:v>
                </c:pt>
                <c:pt idx="47">
                  <c:v>41.5</c:v>
                </c:pt>
                <c:pt idx="48">
                  <c:v>15.8</c:v>
                </c:pt>
                <c:pt idx="49">
                  <c:v>11.7</c:v>
                </c:pt>
                <c:pt idx="50">
                  <c:v>3.1</c:v>
                </c:pt>
                <c:pt idx="51">
                  <c:v>9.6</c:v>
                </c:pt>
                <c:pt idx="52">
                  <c:v>41.7</c:v>
                </c:pt>
                <c:pt idx="53">
                  <c:v>46.2</c:v>
                </c:pt>
                <c:pt idx="54">
                  <c:v>28.8</c:v>
                </c:pt>
                <c:pt idx="55">
                  <c:v>49.4</c:v>
                </c:pt>
                <c:pt idx="56">
                  <c:v>28.1</c:v>
                </c:pt>
                <c:pt idx="57">
                  <c:v>19.2</c:v>
                </c:pt>
                <c:pt idx="58">
                  <c:v>49.6</c:v>
                </c:pt>
                <c:pt idx="59">
                  <c:v>29.5</c:v>
                </c:pt>
                <c:pt idx="60">
                  <c:v>2</c:v>
                </c:pt>
                <c:pt idx="61">
                  <c:v>42.7</c:v>
                </c:pt>
                <c:pt idx="62">
                  <c:v>15.5</c:v>
                </c:pt>
                <c:pt idx="63">
                  <c:v>29.6</c:v>
                </c:pt>
                <c:pt idx="64">
                  <c:v>42.8</c:v>
                </c:pt>
                <c:pt idx="65">
                  <c:v>9.3000000000000007</c:v>
                </c:pt>
                <c:pt idx="66">
                  <c:v>24.6</c:v>
                </c:pt>
                <c:pt idx="67">
                  <c:v>14.5</c:v>
                </c:pt>
                <c:pt idx="68">
                  <c:v>27.5</c:v>
                </c:pt>
                <c:pt idx="69">
                  <c:v>43.9</c:v>
                </c:pt>
                <c:pt idx="70">
                  <c:v>30.6</c:v>
                </c:pt>
                <c:pt idx="71">
                  <c:v>14.3</c:v>
                </c:pt>
                <c:pt idx="72">
                  <c:v>33</c:v>
                </c:pt>
                <c:pt idx="73">
                  <c:v>5.7</c:v>
                </c:pt>
                <c:pt idx="74">
                  <c:v>24.6</c:v>
                </c:pt>
                <c:pt idx="75">
                  <c:v>43.7</c:v>
                </c:pt>
                <c:pt idx="76">
                  <c:v>1.6</c:v>
                </c:pt>
                <c:pt idx="77">
                  <c:v>28.5</c:v>
                </c:pt>
                <c:pt idx="78">
                  <c:v>29.9</c:v>
                </c:pt>
                <c:pt idx="79">
                  <c:v>7.7</c:v>
                </c:pt>
                <c:pt idx="80">
                  <c:v>26.7</c:v>
                </c:pt>
                <c:pt idx="81">
                  <c:v>4.0999999999999996</c:v>
                </c:pt>
                <c:pt idx="82">
                  <c:v>20.3</c:v>
                </c:pt>
                <c:pt idx="83">
                  <c:v>44.5</c:v>
                </c:pt>
                <c:pt idx="84">
                  <c:v>43</c:v>
                </c:pt>
                <c:pt idx="85">
                  <c:v>18.399999999999999</c:v>
                </c:pt>
                <c:pt idx="86">
                  <c:v>27.5</c:v>
                </c:pt>
                <c:pt idx="87">
                  <c:v>40.6</c:v>
                </c:pt>
                <c:pt idx="88">
                  <c:v>25.5</c:v>
                </c:pt>
                <c:pt idx="89">
                  <c:v>47.8</c:v>
                </c:pt>
                <c:pt idx="90">
                  <c:v>4.9000000000000004</c:v>
                </c:pt>
                <c:pt idx="91">
                  <c:v>1.5</c:v>
                </c:pt>
                <c:pt idx="92">
                  <c:v>33.5</c:v>
                </c:pt>
                <c:pt idx="93">
                  <c:v>36.5</c:v>
                </c:pt>
                <c:pt idx="94">
                  <c:v>14</c:v>
                </c:pt>
                <c:pt idx="95">
                  <c:v>31.6</c:v>
                </c:pt>
                <c:pt idx="96">
                  <c:v>3.5</c:v>
                </c:pt>
                <c:pt idx="97">
                  <c:v>21</c:v>
                </c:pt>
                <c:pt idx="98">
                  <c:v>42.3</c:v>
                </c:pt>
                <c:pt idx="99">
                  <c:v>41.7</c:v>
                </c:pt>
                <c:pt idx="100">
                  <c:v>4.3</c:v>
                </c:pt>
                <c:pt idx="101">
                  <c:v>36.299999999999997</c:v>
                </c:pt>
                <c:pt idx="102">
                  <c:v>10.1</c:v>
                </c:pt>
                <c:pt idx="103">
                  <c:v>17.2</c:v>
                </c:pt>
                <c:pt idx="104">
                  <c:v>34.299999999999997</c:v>
                </c:pt>
                <c:pt idx="105">
                  <c:v>46.4</c:v>
                </c:pt>
                <c:pt idx="106">
                  <c:v>11</c:v>
                </c:pt>
                <c:pt idx="107">
                  <c:v>0.3</c:v>
                </c:pt>
                <c:pt idx="108">
                  <c:v>0.4</c:v>
                </c:pt>
                <c:pt idx="109">
                  <c:v>26.9</c:v>
                </c:pt>
                <c:pt idx="110">
                  <c:v>8.1999999999999993</c:v>
                </c:pt>
                <c:pt idx="111">
                  <c:v>38</c:v>
                </c:pt>
                <c:pt idx="112">
                  <c:v>15.4</c:v>
                </c:pt>
                <c:pt idx="113">
                  <c:v>20.6</c:v>
                </c:pt>
                <c:pt idx="114">
                  <c:v>46.8</c:v>
                </c:pt>
                <c:pt idx="115">
                  <c:v>35</c:v>
                </c:pt>
                <c:pt idx="116">
                  <c:v>14.3</c:v>
                </c:pt>
                <c:pt idx="117">
                  <c:v>0.8</c:v>
                </c:pt>
                <c:pt idx="118">
                  <c:v>36.9</c:v>
                </c:pt>
                <c:pt idx="119">
                  <c:v>16</c:v>
                </c:pt>
                <c:pt idx="120">
                  <c:v>26.8</c:v>
                </c:pt>
                <c:pt idx="121">
                  <c:v>21.7</c:v>
                </c:pt>
                <c:pt idx="122">
                  <c:v>2.4</c:v>
                </c:pt>
                <c:pt idx="123">
                  <c:v>34.6</c:v>
                </c:pt>
                <c:pt idx="124">
                  <c:v>32.299999999999997</c:v>
                </c:pt>
                <c:pt idx="125">
                  <c:v>11.8</c:v>
                </c:pt>
                <c:pt idx="126">
                  <c:v>38.9</c:v>
                </c:pt>
                <c:pt idx="127">
                  <c:v>0</c:v>
                </c:pt>
                <c:pt idx="128">
                  <c:v>49</c:v>
                </c:pt>
                <c:pt idx="129">
                  <c:v>12</c:v>
                </c:pt>
                <c:pt idx="130">
                  <c:v>39.6</c:v>
                </c:pt>
                <c:pt idx="131">
                  <c:v>2.9</c:v>
                </c:pt>
                <c:pt idx="132">
                  <c:v>27.2</c:v>
                </c:pt>
                <c:pt idx="133">
                  <c:v>33.5</c:v>
                </c:pt>
                <c:pt idx="134">
                  <c:v>38.6</c:v>
                </c:pt>
                <c:pt idx="135">
                  <c:v>47</c:v>
                </c:pt>
                <c:pt idx="136">
                  <c:v>39</c:v>
                </c:pt>
                <c:pt idx="137">
                  <c:v>28.9</c:v>
                </c:pt>
                <c:pt idx="138">
                  <c:v>25.9</c:v>
                </c:pt>
                <c:pt idx="139">
                  <c:v>43.9</c:v>
                </c:pt>
                <c:pt idx="140">
                  <c:v>17</c:v>
                </c:pt>
                <c:pt idx="141">
                  <c:v>35.4</c:v>
                </c:pt>
                <c:pt idx="142">
                  <c:v>33.200000000000003</c:v>
                </c:pt>
                <c:pt idx="143">
                  <c:v>5.7</c:v>
                </c:pt>
                <c:pt idx="144">
                  <c:v>14.8</c:v>
                </c:pt>
                <c:pt idx="145">
                  <c:v>1.9</c:v>
                </c:pt>
                <c:pt idx="146">
                  <c:v>7.3</c:v>
                </c:pt>
                <c:pt idx="147">
                  <c:v>49</c:v>
                </c:pt>
                <c:pt idx="148">
                  <c:v>40.299999999999997</c:v>
                </c:pt>
                <c:pt idx="149">
                  <c:v>25.8</c:v>
                </c:pt>
                <c:pt idx="150">
                  <c:v>13.9</c:v>
                </c:pt>
                <c:pt idx="151">
                  <c:v>8.4</c:v>
                </c:pt>
                <c:pt idx="152">
                  <c:v>23.3</c:v>
                </c:pt>
                <c:pt idx="153">
                  <c:v>39.700000000000003</c:v>
                </c:pt>
                <c:pt idx="154">
                  <c:v>21.1</c:v>
                </c:pt>
                <c:pt idx="155">
                  <c:v>11.6</c:v>
                </c:pt>
                <c:pt idx="156">
                  <c:v>43.5</c:v>
                </c:pt>
                <c:pt idx="157">
                  <c:v>1.3</c:v>
                </c:pt>
                <c:pt idx="158">
                  <c:v>36.9</c:v>
                </c:pt>
                <c:pt idx="159">
                  <c:v>18.399999999999999</c:v>
                </c:pt>
                <c:pt idx="160">
                  <c:v>18.100000000000001</c:v>
                </c:pt>
                <c:pt idx="161">
                  <c:v>35.799999999999997</c:v>
                </c:pt>
                <c:pt idx="162">
                  <c:v>18.100000000000001</c:v>
                </c:pt>
                <c:pt idx="163">
                  <c:v>36.799999999999997</c:v>
                </c:pt>
                <c:pt idx="164">
                  <c:v>14.7</c:v>
                </c:pt>
                <c:pt idx="165">
                  <c:v>3.4</c:v>
                </c:pt>
                <c:pt idx="166">
                  <c:v>37.6</c:v>
                </c:pt>
                <c:pt idx="167">
                  <c:v>5.2</c:v>
                </c:pt>
                <c:pt idx="168">
                  <c:v>23.6</c:v>
                </c:pt>
                <c:pt idx="169">
                  <c:v>10.6</c:v>
                </c:pt>
                <c:pt idx="170">
                  <c:v>11.6</c:v>
                </c:pt>
                <c:pt idx="171">
                  <c:v>20.9</c:v>
                </c:pt>
                <c:pt idx="172">
                  <c:v>20.100000000000001</c:v>
                </c:pt>
                <c:pt idx="173">
                  <c:v>7.1</c:v>
                </c:pt>
                <c:pt idx="174">
                  <c:v>3.4</c:v>
                </c:pt>
                <c:pt idx="175">
                  <c:v>48.9</c:v>
                </c:pt>
                <c:pt idx="176">
                  <c:v>30.2</c:v>
                </c:pt>
                <c:pt idx="177">
                  <c:v>7.8</c:v>
                </c:pt>
                <c:pt idx="178">
                  <c:v>2.2999999999999998</c:v>
                </c:pt>
                <c:pt idx="179">
                  <c:v>10</c:v>
                </c:pt>
                <c:pt idx="180">
                  <c:v>2.6</c:v>
                </c:pt>
                <c:pt idx="181">
                  <c:v>5.4</c:v>
                </c:pt>
                <c:pt idx="182">
                  <c:v>5.7</c:v>
                </c:pt>
                <c:pt idx="183">
                  <c:v>43</c:v>
                </c:pt>
                <c:pt idx="184">
                  <c:v>21.3</c:v>
                </c:pt>
                <c:pt idx="185">
                  <c:v>45.1</c:v>
                </c:pt>
                <c:pt idx="186">
                  <c:v>2.1</c:v>
                </c:pt>
                <c:pt idx="187">
                  <c:v>28.7</c:v>
                </c:pt>
                <c:pt idx="188">
                  <c:v>13.9</c:v>
                </c:pt>
                <c:pt idx="189">
                  <c:v>12.1</c:v>
                </c:pt>
                <c:pt idx="190">
                  <c:v>41.1</c:v>
                </c:pt>
                <c:pt idx="191">
                  <c:v>10.8</c:v>
                </c:pt>
                <c:pt idx="192">
                  <c:v>4.0999999999999996</c:v>
                </c:pt>
                <c:pt idx="193">
                  <c:v>42</c:v>
                </c:pt>
                <c:pt idx="194">
                  <c:v>35.6</c:v>
                </c:pt>
                <c:pt idx="195">
                  <c:v>3.7</c:v>
                </c:pt>
                <c:pt idx="196">
                  <c:v>4.9000000000000004</c:v>
                </c:pt>
                <c:pt idx="197">
                  <c:v>9.3000000000000007</c:v>
                </c:pt>
                <c:pt idx="198">
                  <c:v>42</c:v>
                </c:pt>
                <c:pt idx="199">
                  <c:v>8.6</c:v>
                </c:pt>
              </c:numCache>
            </c:numRef>
          </c:xVal>
          <c:yVal>
            <c:numRef>
              <c:f>Sheet1!$B$27:$B$226</c:f>
              <c:numCache>
                <c:formatCode>General</c:formatCode>
                <c:ptCount val="200"/>
                <c:pt idx="0">
                  <c:v>20.523974409715162</c:v>
                </c:pt>
                <c:pt idx="1">
                  <c:v>12.337854820894361</c:v>
                </c:pt>
                <c:pt idx="2">
                  <c:v>12.307670779994229</c:v>
                </c:pt>
                <c:pt idx="3">
                  <c:v>17.597829511689124</c:v>
                </c:pt>
                <c:pt idx="4">
                  <c:v>13.18867185683129</c:v>
                </c:pt>
                <c:pt idx="5">
                  <c:v>12.478347634035847</c:v>
                </c:pt>
                <c:pt idx="6">
                  <c:v>11.729759951563686</c:v>
                </c:pt>
                <c:pt idx="7">
                  <c:v>12.122953165502285</c:v>
                </c:pt>
                <c:pt idx="8">
                  <c:v>3.7273408628615892</c:v>
                </c:pt>
                <c:pt idx="9">
                  <c:v>12.550848722934685</c:v>
                </c:pt>
                <c:pt idx="10">
                  <c:v>7.0322992005588549</c:v>
                </c:pt>
                <c:pt idx="11">
                  <c:v>17.285129182600272</c:v>
                </c:pt>
                <c:pt idx="12">
                  <c:v>10.577120733627664</c:v>
                </c:pt>
                <c:pt idx="13">
                  <c:v>8.8263004800332023</c:v>
                </c:pt>
                <c:pt idx="14">
                  <c:v>18.43436638356107</c:v>
                </c:pt>
                <c:pt idx="15">
                  <c:v>20.819299516495455</c:v>
                </c:pt>
                <c:pt idx="16">
                  <c:v>12.823656743699356</c:v>
                </c:pt>
                <c:pt idx="17">
                  <c:v>23.224957158799004</c:v>
                </c:pt>
                <c:pt idx="18">
                  <c:v>9.9516820591188022</c:v>
                </c:pt>
                <c:pt idx="19">
                  <c:v>14.166072932273263</c:v>
                </c:pt>
                <c:pt idx="20">
                  <c:v>18.100767277084273</c:v>
                </c:pt>
                <c:pt idx="21">
                  <c:v>14.740538200355449</c:v>
                </c:pt>
                <c:pt idx="22">
                  <c:v>6.4891503035632914</c:v>
                </c:pt>
                <c:pt idx="23">
                  <c:v>16.545932895131454</c:v>
                </c:pt>
                <c:pt idx="24">
                  <c:v>8.1465188718227441</c:v>
                </c:pt>
                <c:pt idx="25">
                  <c:v>15.610038604568864</c:v>
                </c:pt>
                <c:pt idx="26">
                  <c:v>14.989514288403914</c:v>
                </c:pt>
                <c:pt idx="27">
                  <c:v>17.051673435161675</c:v>
                </c:pt>
                <c:pt idx="28">
                  <c:v>19.410538026572961</c:v>
                </c:pt>
                <c:pt idx="29">
                  <c:v>9.1440238931687237</c:v>
                </c:pt>
                <c:pt idx="30">
                  <c:v>21.633933802695569</c:v>
                </c:pt>
                <c:pt idx="31">
                  <c:v>11.346092904310975</c:v>
                </c:pt>
                <c:pt idx="32">
                  <c:v>7.6388831418270788</c:v>
                </c:pt>
                <c:pt idx="33">
                  <c:v>18.864268292864352</c:v>
                </c:pt>
                <c:pt idx="34">
                  <c:v>7.5748305147121249</c:v>
                </c:pt>
                <c:pt idx="35">
                  <c:v>17.006826181847078</c:v>
                </c:pt>
                <c:pt idx="36">
                  <c:v>23.405900517309995</c:v>
                </c:pt>
                <c:pt idx="37">
                  <c:v>15.623477788695743</c:v>
                </c:pt>
                <c:pt idx="38">
                  <c:v>9.9086810345121901</c:v>
                </c:pt>
                <c:pt idx="39">
                  <c:v>20.447610393747123</c:v>
                </c:pt>
                <c:pt idx="40">
                  <c:v>16.37766467131113</c:v>
                </c:pt>
                <c:pt idx="41">
                  <c:v>17.295983199388978</c:v>
                </c:pt>
                <c:pt idx="42">
                  <c:v>21.595803256321947</c:v>
                </c:pt>
                <c:pt idx="43">
                  <c:v>13.963856839972715</c:v>
                </c:pt>
                <c:pt idx="44">
                  <c:v>8.8878799564485256</c:v>
                </c:pt>
                <c:pt idx="45">
                  <c:v>15.161523138521126</c:v>
                </c:pt>
                <c:pt idx="46">
                  <c:v>8.8733867326823983</c:v>
                </c:pt>
                <c:pt idx="47">
                  <c:v>21.722629895028959</c:v>
                </c:pt>
                <c:pt idx="48">
                  <c:v>16.263620181413803</c:v>
                </c:pt>
                <c:pt idx="49">
                  <c:v>8.1681656044053774</c:v>
                </c:pt>
                <c:pt idx="50">
                  <c:v>12.631211324624605</c:v>
                </c:pt>
                <c:pt idx="51">
                  <c:v>9.3398129606431795</c:v>
                </c:pt>
                <c:pt idx="52">
                  <c:v>20.662975627014507</c:v>
                </c:pt>
                <c:pt idx="53">
                  <c:v>19.944699569642697</c:v>
                </c:pt>
                <c:pt idx="54">
                  <c:v>20.374430078461266</c:v>
                </c:pt>
                <c:pt idx="55">
                  <c:v>21.292610603748713</c:v>
                </c:pt>
                <c:pt idx="56">
                  <c:v>8.5277125447268425</c:v>
                </c:pt>
                <c:pt idx="57">
                  <c:v>12.774588020808983</c:v>
                </c:pt>
                <c:pt idx="58">
                  <c:v>21.898051982898803</c:v>
                </c:pt>
                <c:pt idx="59">
                  <c:v>18.13348698070368</c:v>
                </c:pt>
                <c:pt idx="60">
                  <c:v>5.7421555840506038</c:v>
                </c:pt>
                <c:pt idx="61">
                  <c:v>22.890672079938675</c:v>
                </c:pt>
                <c:pt idx="62">
                  <c:v>16.78426072910862</c:v>
                </c:pt>
                <c:pt idx="63">
                  <c:v>13.210692016950794</c:v>
                </c:pt>
                <c:pt idx="64">
                  <c:v>16.977735563833615</c:v>
                </c:pt>
                <c:pt idx="65">
                  <c:v>7.8490453194829195</c:v>
                </c:pt>
                <c:pt idx="66">
                  <c:v>9.0160316327988195</c:v>
                </c:pt>
                <c:pt idx="67">
                  <c:v>12.037007297677002</c:v>
                </c:pt>
                <c:pt idx="68">
                  <c:v>18.976579242354177</c:v>
                </c:pt>
                <c:pt idx="69">
                  <c:v>21.108912436143427</c:v>
                </c:pt>
                <c:pt idx="70">
                  <c:v>17.779497816582293</c:v>
                </c:pt>
                <c:pt idx="71">
                  <c:v>10.626938152945893</c:v>
                </c:pt>
                <c:pt idx="72">
                  <c:v>10.366848810245022</c:v>
                </c:pt>
                <c:pt idx="73">
                  <c:v>9.9029820555921209</c:v>
                </c:pt>
                <c:pt idx="74">
                  <c:v>17.329311966972643</c:v>
                </c:pt>
                <c:pt idx="75">
                  <c:v>11.858321738983788</c:v>
                </c:pt>
                <c:pt idx="76">
                  <c:v>4.4775890405727177</c:v>
                </c:pt>
                <c:pt idx="77">
                  <c:v>13.811902227800482</c:v>
                </c:pt>
                <c:pt idx="78">
                  <c:v>8.8133135261735962</c:v>
                </c:pt>
                <c:pt idx="79">
                  <c:v>9.6753032832745074</c:v>
                </c:pt>
                <c:pt idx="80">
                  <c:v>11.445923639120625</c:v>
                </c:pt>
                <c:pt idx="81">
                  <c:v>14.647940925761016</c:v>
                </c:pt>
                <c:pt idx="82">
                  <c:v>10.178407991809921</c:v>
                </c:pt>
                <c:pt idx="83">
                  <c:v>14.421842119156549</c:v>
                </c:pt>
                <c:pt idx="84">
                  <c:v>20.781364636833885</c:v>
                </c:pt>
                <c:pt idx="85">
                  <c:v>15.181407889846495</c:v>
                </c:pt>
                <c:pt idx="86">
                  <c:v>11.59870739427725</c:v>
                </c:pt>
                <c:pt idx="87">
                  <c:v>15.593784747966524</c:v>
                </c:pt>
                <c:pt idx="88">
                  <c:v>11.711271005267474</c:v>
                </c:pt>
                <c:pt idx="89">
                  <c:v>16.922255106768954</c:v>
                </c:pt>
                <c:pt idx="90">
                  <c:v>9.9992296517234802</c:v>
                </c:pt>
                <c:pt idx="91">
                  <c:v>4.4963159844593772</c:v>
                </c:pt>
                <c:pt idx="92">
                  <c:v>19.156396162353211</c:v>
                </c:pt>
                <c:pt idx="93">
                  <c:v>21.22757378476209</c:v>
                </c:pt>
                <c:pt idx="94">
                  <c:v>10.482123854060985</c:v>
                </c:pt>
                <c:pt idx="95">
                  <c:v>16.3149211249941</c:v>
                </c:pt>
                <c:pt idx="96">
                  <c:v>12.63571716170908</c:v>
                </c:pt>
                <c:pt idx="97">
                  <c:v>15.337077822510238</c:v>
                </c:pt>
                <c:pt idx="98">
                  <c:v>24.118607229753348</c:v>
                </c:pt>
                <c:pt idx="99">
                  <c:v>16.940350209868626</c:v>
                </c:pt>
                <c:pt idx="100">
                  <c:v>13.875958437972796</c:v>
                </c:pt>
                <c:pt idx="101">
                  <c:v>23.242486848584214</c:v>
                </c:pt>
                <c:pt idx="102">
                  <c:v>17.644093845826685</c:v>
                </c:pt>
                <c:pt idx="103">
                  <c:v>14.762211416061408</c:v>
                </c:pt>
                <c:pt idx="104">
                  <c:v>20.301108784104397</c:v>
                </c:pt>
                <c:pt idx="105">
                  <c:v>17.936414673257321</c:v>
                </c:pt>
                <c:pt idx="106">
                  <c:v>6.1260221485830586</c:v>
                </c:pt>
                <c:pt idx="107">
                  <c:v>7.108502485117369</c:v>
                </c:pt>
                <c:pt idx="108">
                  <c:v>3.5872584098050151</c:v>
                </c:pt>
                <c:pt idx="109">
                  <c:v>19.692931062134029</c:v>
                </c:pt>
                <c:pt idx="110">
                  <c:v>14.759874095117553</c:v>
                </c:pt>
                <c:pt idx="111">
                  <c:v>21.14027498033532</c:v>
                </c:pt>
                <c:pt idx="112">
                  <c:v>13.880609853211171</c:v>
                </c:pt>
                <c:pt idx="113">
                  <c:v>16.403776229871259</c:v>
                </c:pt>
                <c:pt idx="114">
                  <c:v>15.305095925878035</c:v>
                </c:pt>
                <c:pt idx="115">
                  <c:v>12.919688951958426</c:v>
                </c:pt>
                <c:pt idx="116">
                  <c:v>11.978747436893686</c:v>
                </c:pt>
                <c:pt idx="117">
                  <c:v>6.5707773987577056</c:v>
                </c:pt>
                <c:pt idx="118">
                  <c:v>15.566093478520511</c:v>
                </c:pt>
                <c:pt idx="119">
                  <c:v>6.8200676671381784</c:v>
                </c:pt>
                <c:pt idx="120">
                  <c:v>14.410106047152565</c:v>
                </c:pt>
                <c:pt idx="121">
                  <c:v>7.8380764218051215</c:v>
                </c:pt>
                <c:pt idx="122">
                  <c:v>13.626457100609532</c:v>
                </c:pt>
                <c:pt idx="123">
                  <c:v>15.08279089666202</c:v>
                </c:pt>
                <c:pt idx="124">
                  <c:v>19.454413064179416</c:v>
                </c:pt>
                <c:pt idx="125">
                  <c:v>9.1273495830047597</c:v>
                </c:pt>
                <c:pt idx="126">
                  <c:v>10.577174114180366</c:v>
                </c:pt>
                <c:pt idx="127">
                  <c:v>6.59966899899152</c:v>
                </c:pt>
                <c:pt idx="128">
                  <c:v>22.25549161453959</c:v>
                </c:pt>
                <c:pt idx="129">
                  <c:v>7.8841064914888364</c:v>
                </c:pt>
                <c:pt idx="130">
                  <c:v>10.427687101769544</c:v>
                </c:pt>
                <c:pt idx="131">
                  <c:v>15.577798192467164</c:v>
                </c:pt>
                <c:pt idx="132">
                  <c:v>8.4491501160707134</c:v>
                </c:pt>
                <c:pt idx="133">
                  <c:v>19.266923071099967</c:v>
                </c:pt>
                <c:pt idx="134">
                  <c:v>11.836803896219831</c:v>
                </c:pt>
                <c:pt idx="135">
                  <c:v>14.001413849249673</c:v>
                </c:pt>
                <c:pt idx="136">
                  <c:v>11.453486267632533</c:v>
                </c:pt>
                <c:pt idx="137">
                  <c:v>20.851251984901999</c:v>
                </c:pt>
                <c:pt idx="138">
                  <c:v>9.7684279548522408</c:v>
                </c:pt>
                <c:pt idx="139">
                  <c:v>19.675476318699388</c:v>
                </c:pt>
                <c:pt idx="140">
                  <c:v>9.489640973247127</c:v>
                </c:pt>
                <c:pt idx="141">
                  <c:v>18.39902931906315</c:v>
                </c:pt>
                <c:pt idx="142">
                  <c:v>19.249869267749116</c:v>
                </c:pt>
                <c:pt idx="143">
                  <c:v>8.7648026198665843</c:v>
                </c:pt>
                <c:pt idx="144">
                  <c:v>10.09133403330576</c:v>
                </c:pt>
                <c:pt idx="145">
                  <c:v>9.708538721613996</c:v>
                </c:pt>
                <c:pt idx="146">
                  <c:v>15.29422367733372</c:v>
                </c:pt>
                <c:pt idx="147">
                  <c:v>23.260861031422419</c:v>
                </c:pt>
                <c:pt idx="148">
                  <c:v>12.263359411362689</c:v>
                </c:pt>
                <c:pt idx="149">
                  <c:v>9.8272711011303482</c:v>
                </c:pt>
                <c:pt idx="150">
                  <c:v>18.367205341380927</c:v>
                </c:pt>
                <c:pt idx="151">
                  <c:v>10.009537700506844</c:v>
                </c:pt>
                <c:pt idx="152">
                  <c:v>16.360000304436973</c:v>
                </c:pt>
                <c:pt idx="153">
                  <c:v>18.223901319920376</c:v>
                </c:pt>
                <c:pt idx="154">
                  <c:v>15.501616959053665</c:v>
                </c:pt>
                <c:pt idx="155">
                  <c:v>5.3075589017356029</c:v>
                </c:pt>
                <c:pt idx="156">
                  <c:v>15.384851915018084</c:v>
                </c:pt>
                <c:pt idx="157">
                  <c:v>10.014311199739465</c:v>
                </c:pt>
                <c:pt idx="158">
                  <c:v>10.38419866004938</c:v>
                </c:pt>
                <c:pt idx="159">
                  <c:v>12.399148227960556</c:v>
                </c:pt>
                <c:pt idx="160">
                  <c:v>14.213832980330974</c:v>
                </c:pt>
                <c:pt idx="161">
                  <c:v>13.559145683664621</c:v>
                </c:pt>
                <c:pt idx="162">
                  <c:v>14.946782057588425</c:v>
                </c:pt>
                <c:pt idx="163">
                  <c:v>17.351636075492511</c:v>
                </c:pt>
                <c:pt idx="164">
                  <c:v>11.068294603100242</c:v>
                </c:pt>
                <c:pt idx="165">
                  <c:v>14.223721376270053</c:v>
                </c:pt>
                <c:pt idx="166">
                  <c:v>10.824395309518028</c:v>
                </c:pt>
                <c:pt idx="167">
                  <c:v>13.363246772586256</c:v>
                </c:pt>
                <c:pt idx="168">
                  <c:v>17.186142800575041</c:v>
                </c:pt>
                <c:pt idx="169">
                  <c:v>17.941556296290063</c:v>
                </c:pt>
                <c:pt idx="170">
                  <c:v>7.3949799664989024</c:v>
                </c:pt>
                <c:pt idx="171">
                  <c:v>14.358273730249413</c:v>
                </c:pt>
                <c:pt idx="172">
                  <c:v>7.6076923787190207</c:v>
                </c:pt>
                <c:pt idx="173">
                  <c:v>11.970938873323922</c:v>
                </c:pt>
                <c:pt idx="174">
                  <c:v>13.744357417405292</c:v>
                </c:pt>
                <c:pt idx="175">
                  <c:v>24.786870314183684</c:v>
                </c:pt>
                <c:pt idx="176">
                  <c:v>19.979372702747675</c:v>
                </c:pt>
                <c:pt idx="177">
                  <c:v>12.16204640283491</c:v>
                </c:pt>
                <c:pt idx="178">
                  <c:v>16.010997220773103</c:v>
                </c:pt>
                <c:pt idx="179">
                  <c:v>12.384554948507715</c:v>
                </c:pt>
                <c:pt idx="180">
                  <c:v>10.587199699509453</c:v>
                </c:pt>
                <c:pt idx="181">
                  <c:v>13.928099183458238</c:v>
                </c:pt>
                <c:pt idx="182">
                  <c:v>6.5546699971249796</c:v>
                </c:pt>
                <c:pt idx="183">
                  <c:v>24.133100129464747</c:v>
                </c:pt>
                <c:pt idx="184">
                  <c:v>18.538520955122785</c:v>
                </c:pt>
                <c:pt idx="185">
                  <c:v>20.803010587194397</c:v>
                </c:pt>
                <c:pt idx="186">
                  <c:v>9.6913731310857365</c:v>
                </c:pt>
                <c:pt idx="187">
                  <c:v>17.076442228165288</c:v>
                </c:pt>
                <c:pt idx="188">
                  <c:v>18.644306480608996</c:v>
                </c:pt>
                <c:pt idx="189">
                  <c:v>6.051624106991679</c:v>
                </c:pt>
                <c:pt idx="190">
                  <c:v>12.489159100639457</c:v>
                </c:pt>
                <c:pt idx="191">
                  <c:v>8.4240193258036822</c:v>
                </c:pt>
                <c:pt idx="192">
                  <c:v>4.4662295605146429</c:v>
                </c:pt>
                <c:pt idx="193">
                  <c:v>18.486957967031397</c:v>
                </c:pt>
                <c:pt idx="194">
                  <c:v>16.495300438165646</c:v>
                </c:pt>
                <c:pt idx="195">
                  <c:v>5.3703424844667875</c:v>
                </c:pt>
                <c:pt idx="196">
                  <c:v>8.1653123606130116</c:v>
                </c:pt>
                <c:pt idx="197">
                  <c:v>12.785920816932238</c:v>
                </c:pt>
                <c:pt idx="198">
                  <c:v>23.767321491762818</c:v>
                </c:pt>
                <c:pt idx="199">
                  <c:v>15.173195535684206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F4-4046-94E4-D38A34AED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124880"/>
        <c:axId val="1468068704"/>
      </c:scatterChart>
      <c:valAx>
        <c:axId val="1260124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Radio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8068704"/>
        <c:crosses val="autoZero"/>
        <c:crossBetween val="midCat"/>
      </c:valAx>
      <c:valAx>
        <c:axId val="1468068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601248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Newspaper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19050">
              <a:noFill/>
            </a:ln>
          </c:spPr>
          <c:xVal>
            <c:numRef>
              <c:f>advertising!$D$2:$D$201</c:f>
              <c:numCache>
                <c:formatCode>General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65.900000000000006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114</c:v>
                </c:pt>
                <c:pt idx="17">
                  <c:v>55.8</c:v>
                </c:pt>
                <c:pt idx="18">
                  <c:v>18.3</c:v>
                </c:pt>
                <c:pt idx="19">
                  <c:v>19.100000000000001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40.799999999999997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38.700000000000003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35.700000000000003</c:v>
                </c:pt>
                <c:pt idx="47">
                  <c:v>18.5</c:v>
                </c:pt>
                <c:pt idx="48">
                  <c:v>49.9</c:v>
                </c:pt>
                <c:pt idx="49">
                  <c:v>36.799999999999997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16.600000000000001</c:v>
                </c:pt>
                <c:pt idx="58">
                  <c:v>37.700000000000003</c:v>
                </c:pt>
                <c:pt idx="59">
                  <c:v>9.3000000000000007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2.2000000000000002</c:v>
                </c:pt>
                <c:pt idx="67">
                  <c:v>10.199999999999999</c:v>
                </c:pt>
                <c:pt idx="68">
                  <c:v>11</c:v>
                </c:pt>
                <c:pt idx="69">
                  <c:v>27.2</c:v>
                </c:pt>
                <c:pt idx="70">
                  <c:v>38.700000000000003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33.799999999999997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73.400000000000006</c:v>
                </c:pt>
                <c:pt idx="89">
                  <c:v>51.4</c:v>
                </c:pt>
                <c:pt idx="90">
                  <c:v>9.3000000000000007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100.9</c:v>
                </c:pt>
                <c:pt idx="102">
                  <c:v>21.4</c:v>
                </c:pt>
                <c:pt idx="103">
                  <c:v>17.899999999999999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9.1999999999999993</c:v>
                </c:pt>
                <c:pt idx="128">
                  <c:v>3.2</c:v>
                </c:pt>
                <c:pt idx="129">
                  <c:v>43.1</c:v>
                </c:pt>
                <c:pt idx="130">
                  <c:v>8.6999999999999993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65.599999999999994</c:v>
                </c:pt>
                <c:pt idx="135">
                  <c:v>8.5</c:v>
                </c:pt>
                <c:pt idx="136">
                  <c:v>9.3000000000000007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75.599999999999994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8.6999999999999993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37.700000000000003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25.6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19.399999999999999</c:v>
                </c:pt>
                <c:pt idx="168">
                  <c:v>57.6</c:v>
                </c:pt>
                <c:pt idx="169">
                  <c:v>6.4</c:v>
                </c:pt>
                <c:pt idx="170">
                  <c:v>18.399999999999999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35.200000000000003</c:v>
                </c:pt>
                <c:pt idx="178">
                  <c:v>23.7</c:v>
                </c:pt>
                <c:pt idx="179">
                  <c:v>17.600000000000001</c:v>
                </c:pt>
                <c:pt idx="180">
                  <c:v>8.3000000000000007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19.600000000000001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8.6999999999999993</c:v>
                </c:pt>
              </c:numCache>
            </c:numRef>
          </c:xVal>
          <c:yVal>
            <c:numRef>
              <c:f>advertising!$E$2:$E$201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D1-4C86-BCC3-D0016BD307B5}"/>
            </c:ext>
          </c:extLst>
        </c:ser>
        <c:ser>
          <c:idx val="1"/>
          <c:order val="1"/>
          <c:tx>
            <c:v>Predicted Sales</c:v>
          </c:tx>
          <c:spPr>
            <a:ln w="19050">
              <a:noFill/>
            </a:ln>
          </c:spPr>
          <c:xVal>
            <c:numRef>
              <c:f>advertising!$D$2:$D$201</c:f>
              <c:numCache>
                <c:formatCode>General</c:formatCode>
                <c:ptCount val="200"/>
                <c:pt idx="0">
                  <c:v>69.2</c:v>
                </c:pt>
                <c:pt idx="1">
                  <c:v>45.1</c:v>
                </c:pt>
                <c:pt idx="2">
                  <c:v>69.3</c:v>
                </c:pt>
                <c:pt idx="3">
                  <c:v>58.5</c:v>
                </c:pt>
                <c:pt idx="4">
                  <c:v>58.4</c:v>
                </c:pt>
                <c:pt idx="5">
                  <c:v>75</c:v>
                </c:pt>
                <c:pt idx="6">
                  <c:v>23.5</c:v>
                </c:pt>
                <c:pt idx="7">
                  <c:v>11.6</c:v>
                </c:pt>
                <c:pt idx="8">
                  <c:v>1</c:v>
                </c:pt>
                <c:pt idx="9">
                  <c:v>21.2</c:v>
                </c:pt>
                <c:pt idx="10">
                  <c:v>24.2</c:v>
                </c:pt>
                <c:pt idx="11">
                  <c:v>4</c:v>
                </c:pt>
                <c:pt idx="12">
                  <c:v>65.900000000000006</c:v>
                </c:pt>
                <c:pt idx="13">
                  <c:v>7.2</c:v>
                </c:pt>
                <c:pt idx="14">
                  <c:v>46</c:v>
                </c:pt>
                <c:pt idx="15">
                  <c:v>52.9</c:v>
                </c:pt>
                <c:pt idx="16">
                  <c:v>114</c:v>
                </c:pt>
                <c:pt idx="17">
                  <c:v>55.8</c:v>
                </c:pt>
                <c:pt idx="18">
                  <c:v>18.3</c:v>
                </c:pt>
                <c:pt idx="19">
                  <c:v>19.100000000000001</c:v>
                </c:pt>
                <c:pt idx="20">
                  <c:v>53.4</c:v>
                </c:pt>
                <c:pt idx="21">
                  <c:v>23.5</c:v>
                </c:pt>
                <c:pt idx="22">
                  <c:v>49.6</c:v>
                </c:pt>
                <c:pt idx="23">
                  <c:v>26.2</c:v>
                </c:pt>
                <c:pt idx="24">
                  <c:v>18.3</c:v>
                </c:pt>
                <c:pt idx="25">
                  <c:v>19.5</c:v>
                </c:pt>
                <c:pt idx="26">
                  <c:v>12.6</c:v>
                </c:pt>
                <c:pt idx="27">
                  <c:v>22.9</c:v>
                </c:pt>
                <c:pt idx="28">
                  <c:v>22.9</c:v>
                </c:pt>
                <c:pt idx="29">
                  <c:v>40.799999999999997</c:v>
                </c:pt>
                <c:pt idx="30">
                  <c:v>43.2</c:v>
                </c:pt>
                <c:pt idx="31">
                  <c:v>38.6</c:v>
                </c:pt>
                <c:pt idx="32">
                  <c:v>30</c:v>
                </c:pt>
                <c:pt idx="33">
                  <c:v>0.3</c:v>
                </c:pt>
                <c:pt idx="34">
                  <c:v>7.4</c:v>
                </c:pt>
                <c:pt idx="35">
                  <c:v>8.5</c:v>
                </c:pt>
                <c:pt idx="36">
                  <c:v>5</c:v>
                </c:pt>
                <c:pt idx="37">
                  <c:v>45.7</c:v>
                </c:pt>
                <c:pt idx="38">
                  <c:v>35.1</c:v>
                </c:pt>
                <c:pt idx="39">
                  <c:v>32</c:v>
                </c:pt>
                <c:pt idx="40">
                  <c:v>31.6</c:v>
                </c:pt>
                <c:pt idx="41">
                  <c:v>38.700000000000003</c:v>
                </c:pt>
                <c:pt idx="42">
                  <c:v>1.8</c:v>
                </c:pt>
                <c:pt idx="43">
                  <c:v>26.4</c:v>
                </c:pt>
                <c:pt idx="44">
                  <c:v>43.3</c:v>
                </c:pt>
                <c:pt idx="45">
                  <c:v>31.5</c:v>
                </c:pt>
                <c:pt idx="46">
                  <c:v>35.700000000000003</c:v>
                </c:pt>
                <c:pt idx="47">
                  <c:v>18.5</c:v>
                </c:pt>
                <c:pt idx="48">
                  <c:v>49.9</c:v>
                </c:pt>
                <c:pt idx="49">
                  <c:v>36.799999999999997</c:v>
                </c:pt>
                <c:pt idx="50">
                  <c:v>34.6</c:v>
                </c:pt>
                <c:pt idx="51">
                  <c:v>3.6</c:v>
                </c:pt>
                <c:pt idx="52">
                  <c:v>39.6</c:v>
                </c:pt>
                <c:pt idx="53">
                  <c:v>58.7</c:v>
                </c:pt>
                <c:pt idx="54">
                  <c:v>15.9</c:v>
                </c:pt>
                <c:pt idx="55">
                  <c:v>60</c:v>
                </c:pt>
                <c:pt idx="56">
                  <c:v>41.4</c:v>
                </c:pt>
                <c:pt idx="57">
                  <c:v>16.600000000000001</c:v>
                </c:pt>
                <c:pt idx="58">
                  <c:v>37.700000000000003</c:v>
                </c:pt>
                <c:pt idx="59">
                  <c:v>9.3000000000000007</c:v>
                </c:pt>
                <c:pt idx="60">
                  <c:v>21.4</c:v>
                </c:pt>
                <c:pt idx="61">
                  <c:v>54.7</c:v>
                </c:pt>
                <c:pt idx="62">
                  <c:v>27.3</c:v>
                </c:pt>
                <c:pt idx="63">
                  <c:v>8.4</c:v>
                </c:pt>
                <c:pt idx="64">
                  <c:v>28.9</c:v>
                </c:pt>
                <c:pt idx="65">
                  <c:v>0.9</c:v>
                </c:pt>
                <c:pt idx="66">
                  <c:v>2.2000000000000002</c:v>
                </c:pt>
                <c:pt idx="67">
                  <c:v>10.199999999999999</c:v>
                </c:pt>
                <c:pt idx="68">
                  <c:v>11</c:v>
                </c:pt>
                <c:pt idx="69">
                  <c:v>27.2</c:v>
                </c:pt>
                <c:pt idx="70">
                  <c:v>38.700000000000003</c:v>
                </c:pt>
                <c:pt idx="71">
                  <c:v>31.7</c:v>
                </c:pt>
                <c:pt idx="72">
                  <c:v>19.3</c:v>
                </c:pt>
                <c:pt idx="73">
                  <c:v>31.3</c:v>
                </c:pt>
                <c:pt idx="74">
                  <c:v>13.1</c:v>
                </c:pt>
                <c:pt idx="75">
                  <c:v>89.4</c:v>
                </c:pt>
                <c:pt idx="76">
                  <c:v>20.7</c:v>
                </c:pt>
                <c:pt idx="77">
                  <c:v>14.2</c:v>
                </c:pt>
                <c:pt idx="78">
                  <c:v>9.4</c:v>
                </c:pt>
                <c:pt idx="79">
                  <c:v>23.1</c:v>
                </c:pt>
                <c:pt idx="80">
                  <c:v>22.3</c:v>
                </c:pt>
                <c:pt idx="81">
                  <c:v>36.9</c:v>
                </c:pt>
                <c:pt idx="82">
                  <c:v>32.5</c:v>
                </c:pt>
                <c:pt idx="83">
                  <c:v>35.6</c:v>
                </c:pt>
                <c:pt idx="84">
                  <c:v>33.799999999999997</c:v>
                </c:pt>
                <c:pt idx="85">
                  <c:v>65.7</c:v>
                </c:pt>
                <c:pt idx="86">
                  <c:v>16</c:v>
                </c:pt>
                <c:pt idx="87">
                  <c:v>63.2</c:v>
                </c:pt>
                <c:pt idx="88">
                  <c:v>73.400000000000006</c:v>
                </c:pt>
                <c:pt idx="89">
                  <c:v>51.4</c:v>
                </c:pt>
                <c:pt idx="90">
                  <c:v>9.3000000000000007</c:v>
                </c:pt>
                <c:pt idx="91">
                  <c:v>33</c:v>
                </c:pt>
                <c:pt idx="92">
                  <c:v>59</c:v>
                </c:pt>
                <c:pt idx="93">
                  <c:v>72.3</c:v>
                </c:pt>
                <c:pt idx="94">
                  <c:v>10.9</c:v>
                </c:pt>
                <c:pt idx="95">
                  <c:v>52.9</c:v>
                </c:pt>
                <c:pt idx="96">
                  <c:v>5.9</c:v>
                </c:pt>
                <c:pt idx="97">
                  <c:v>22</c:v>
                </c:pt>
                <c:pt idx="98">
                  <c:v>51.2</c:v>
                </c:pt>
                <c:pt idx="99">
                  <c:v>45.9</c:v>
                </c:pt>
                <c:pt idx="100">
                  <c:v>49.8</c:v>
                </c:pt>
                <c:pt idx="101">
                  <c:v>100.9</c:v>
                </c:pt>
                <c:pt idx="102">
                  <c:v>21.4</c:v>
                </c:pt>
                <c:pt idx="103">
                  <c:v>17.899999999999999</c:v>
                </c:pt>
                <c:pt idx="104">
                  <c:v>5.3</c:v>
                </c:pt>
                <c:pt idx="105">
                  <c:v>59</c:v>
                </c:pt>
                <c:pt idx="106">
                  <c:v>29.7</c:v>
                </c:pt>
                <c:pt idx="107">
                  <c:v>23.2</c:v>
                </c:pt>
                <c:pt idx="108">
                  <c:v>25.6</c:v>
                </c:pt>
                <c:pt idx="109">
                  <c:v>5.5</c:v>
                </c:pt>
                <c:pt idx="110">
                  <c:v>56.5</c:v>
                </c:pt>
                <c:pt idx="111">
                  <c:v>23.2</c:v>
                </c:pt>
                <c:pt idx="112">
                  <c:v>2.4</c:v>
                </c:pt>
                <c:pt idx="113">
                  <c:v>10.7</c:v>
                </c:pt>
                <c:pt idx="114">
                  <c:v>34.5</c:v>
                </c:pt>
                <c:pt idx="115">
                  <c:v>52.7</c:v>
                </c:pt>
                <c:pt idx="116">
                  <c:v>25.6</c:v>
                </c:pt>
                <c:pt idx="117">
                  <c:v>14.8</c:v>
                </c:pt>
                <c:pt idx="118">
                  <c:v>79.2</c:v>
                </c:pt>
                <c:pt idx="119">
                  <c:v>22.3</c:v>
                </c:pt>
                <c:pt idx="120">
                  <c:v>46.2</c:v>
                </c:pt>
                <c:pt idx="121">
                  <c:v>50.4</c:v>
                </c:pt>
                <c:pt idx="122">
                  <c:v>15.6</c:v>
                </c:pt>
                <c:pt idx="123">
                  <c:v>12.4</c:v>
                </c:pt>
                <c:pt idx="124">
                  <c:v>74.2</c:v>
                </c:pt>
                <c:pt idx="125">
                  <c:v>25.9</c:v>
                </c:pt>
                <c:pt idx="126">
                  <c:v>50.6</c:v>
                </c:pt>
                <c:pt idx="127">
                  <c:v>9.1999999999999993</c:v>
                </c:pt>
                <c:pt idx="128">
                  <c:v>3.2</c:v>
                </c:pt>
                <c:pt idx="129">
                  <c:v>43.1</c:v>
                </c:pt>
                <c:pt idx="130">
                  <c:v>8.6999999999999993</c:v>
                </c:pt>
                <c:pt idx="131">
                  <c:v>43</c:v>
                </c:pt>
                <c:pt idx="132">
                  <c:v>2.1</c:v>
                </c:pt>
                <c:pt idx="133">
                  <c:v>45.1</c:v>
                </c:pt>
                <c:pt idx="134">
                  <c:v>65.599999999999994</c:v>
                </c:pt>
                <c:pt idx="135">
                  <c:v>8.5</c:v>
                </c:pt>
                <c:pt idx="136">
                  <c:v>9.3000000000000007</c:v>
                </c:pt>
                <c:pt idx="137">
                  <c:v>59.7</c:v>
                </c:pt>
                <c:pt idx="138">
                  <c:v>20.5</c:v>
                </c:pt>
                <c:pt idx="139">
                  <c:v>1.7</c:v>
                </c:pt>
                <c:pt idx="140">
                  <c:v>12.9</c:v>
                </c:pt>
                <c:pt idx="141">
                  <c:v>75.599999999999994</c:v>
                </c:pt>
                <c:pt idx="142">
                  <c:v>37.9</c:v>
                </c:pt>
                <c:pt idx="143">
                  <c:v>34.4</c:v>
                </c:pt>
                <c:pt idx="144">
                  <c:v>38.9</c:v>
                </c:pt>
                <c:pt idx="145">
                  <c:v>9</c:v>
                </c:pt>
                <c:pt idx="146">
                  <c:v>8.6999999999999993</c:v>
                </c:pt>
                <c:pt idx="147">
                  <c:v>44.3</c:v>
                </c:pt>
                <c:pt idx="148">
                  <c:v>11.9</c:v>
                </c:pt>
                <c:pt idx="149">
                  <c:v>20.6</c:v>
                </c:pt>
                <c:pt idx="150">
                  <c:v>37</c:v>
                </c:pt>
                <c:pt idx="151">
                  <c:v>48.7</c:v>
                </c:pt>
                <c:pt idx="152">
                  <c:v>14.2</c:v>
                </c:pt>
                <c:pt idx="153">
                  <c:v>37.700000000000003</c:v>
                </c:pt>
                <c:pt idx="154">
                  <c:v>9.5</c:v>
                </c:pt>
                <c:pt idx="155">
                  <c:v>5.7</c:v>
                </c:pt>
                <c:pt idx="156">
                  <c:v>50.5</c:v>
                </c:pt>
                <c:pt idx="157">
                  <c:v>24.3</c:v>
                </c:pt>
                <c:pt idx="158">
                  <c:v>45.2</c:v>
                </c:pt>
                <c:pt idx="159">
                  <c:v>34.6</c:v>
                </c:pt>
                <c:pt idx="160">
                  <c:v>30.7</c:v>
                </c:pt>
                <c:pt idx="161">
                  <c:v>49.3</c:v>
                </c:pt>
                <c:pt idx="162">
                  <c:v>25.6</c:v>
                </c:pt>
                <c:pt idx="163">
                  <c:v>7.4</c:v>
                </c:pt>
                <c:pt idx="164">
                  <c:v>5.4</c:v>
                </c:pt>
                <c:pt idx="165">
                  <c:v>84.8</c:v>
                </c:pt>
                <c:pt idx="166">
                  <c:v>21.6</c:v>
                </c:pt>
                <c:pt idx="167">
                  <c:v>19.399999999999999</c:v>
                </c:pt>
                <c:pt idx="168">
                  <c:v>57.6</c:v>
                </c:pt>
                <c:pt idx="169">
                  <c:v>6.4</c:v>
                </c:pt>
                <c:pt idx="170">
                  <c:v>18.399999999999999</c:v>
                </c:pt>
                <c:pt idx="171">
                  <c:v>47.4</c:v>
                </c:pt>
                <c:pt idx="172">
                  <c:v>17</c:v>
                </c:pt>
                <c:pt idx="173">
                  <c:v>12.8</c:v>
                </c:pt>
                <c:pt idx="174">
                  <c:v>13.1</c:v>
                </c:pt>
                <c:pt idx="175">
                  <c:v>41.8</c:v>
                </c:pt>
                <c:pt idx="176">
                  <c:v>20.3</c:v>
                </c:pt>
                <c:pt idx="177">
                  <c:v>35.200000000000003</c:v>
                </c:pt>
                <c:pt idx="178">
                  <c:v>23.7</c:v>
                </c:pt>
                <c:pt idx="179">
                  <c:v>17.600000000000001</c:v>
                </c:pt>
                <c:pt idx="180">
                  <c:v>8.3000000000000007</c:v>
                </c:pt>
                <c:pt idx="181">
                  <c:v>27.4</c:v>
                </c:pt>
                <c:pt idx="182">
                  <c:v>29.7</c:v>
                </c:pt>
                <c:pt idx="183">
                  <c:v>71.8</c:v>
                </c:pt>
                <c:pt idx="184">
                  <c:v>30</c:v>
                </c:pt>
                <c:pt idx="185">
                  <c:v>19.600000000000001</c:v>
                </c:pt>
                <c:pt idx="186">
                  <c:v>26.6</c:v>
                </c:pt>
                <c:pt idx="187">
                  <c:v>18.2</c:v>
                </c:pt>
                <c:pt idx="188">
                  <c:v>3.7</c:v>
                </c:pt>
                <c:pt idx="189">
                  <c:v>23.4</c:v>
                </c:pt>
                <c:pt idx="190">
                  <c:v>5.8</c:v>
                </c:pt>
                <c:pt idx="191">
                  <c:v>6</c:v>
                </c:pt>
                <c:pt idx="192">
                  <c:v>31.6</c:v>
                </c:pt>
                <c:pt idx="193">
                  <c:v>3.6</c:v>
                </c:pt>
                <c:pt idx="194">
                  <c:v>6</c:v>
                </c:pt>
                <c:pt idx="195">
                  <c:v>13.8</c:v>
                </c:pt>
                <c:pt idx="196">
                  <c:v>8.1</c:v>
                </c:pt>
                <c:pt idx="197">
                  <c:v>6.4</c:v>
                </c:pt>
                <c:pt idx="198">
                  <c:v>66.2</c:v>
                </c:pt>
                <c:pt idx="199">
                  <c:v>8.6999999999999993</c:v>
                </c:pt>
              </c:numCache>
            </c:numRef>
          </c:xVal>
          <c:yVal>
            <c:numRef>
              <c:f>Sheet1!$B$27:$B$226</c:f>
              <c:numCache>
                <c:formatCode>General</c:formatCode>
                <c:ptCount val="200"/>
                <c:pt idx="0">
                  <c:v>20.523974409715162</c:v>
                </c:pt>
                <c:pt idx="1">
                  <c:v>12.337854820894361</c:v>
                </c:pt>
                <c:pt idx="2">
                  <c:v>12.307670779994229</c:v>
                </c:pt>
                <c:pt idx="3">
                  <c:v>17.597829511689124</c:v>
                </c:pt>
                <c:pt idx="4">
                  <c:v>13.18867185683129</c:v>
                </c:pt>
                <c:pt idx="5">
                  <c:v>12.478347634035847</c:v>
                </c:pt>
                <c:pt idx="6">
                  <c:v>11.729759951563686</c:v>
                </c:pt>
                <c:pt idx="7">
                  <c:v>12.122953165502285</c:v>
                </c:pt>
                <c:pt idx="8">
                  <c:v>3.7273408628615892</c:v>
                </c:pt>
                <c:pt idx="9">
                  <c:v>12.550848722934685</c:v>
                </c:pt>
                <c:pt idx="10">
                  <c:v>7.0322992005588549</c:v>
                </c:pt>
                <c:pt idx="11">
                  <c:v>17.285129182600272</c:v>
                </c:pt>
                <c:pt idx="12">
                  <c:v>10.577120733627664</c:v>
                </c:pt>
                <c:pt idx="13">
                  <c:v>8.8263004800332023</c:v>
                </c:pt>
                <c:pt idx="14">
                  <c:v>18.43436638356107</c:v>
                </c:pt>
                <c:pt idx="15">
                  <c:v>20.819299516495455</c:v>
                </c:pt>
                <c:pt idx="16">
                  <c:v>12.823656743699356</c:v>
                </c:pt>
                <c:pt idx="17">
                  <c:v>23.224957158799004</c:v>
                </c:pt>
                <c:pt idx="18">
                  <c:v>9.9516820591188022</c:v>
                </c:pt>
                <c:pt idx="19">
                  <c:v>14.166072932273263</c:v>
                </c:pt>
                <c:pt idx="20">
                  <c:v>18.100767277084273</c:v>
                </c:pt>
                <c:pt idx="21">
                  <c:v>14.740538200355449</c:v>
                </c:pt>
                <c:pt idx="22">
                  <c:v>6.4891503035632914</c:v>
                </c:pt>
                <c:pt idx="23">
                  <c:v>16.545932895131454</c:v>
                </c:pt>
                <c:pt idx="24">
                  <c:v>8.1465188718227441</c:v>
                </c:pt>
                <c:pt idx="25">
                  <c:v>15.610038604568864</c:v>
                </c:pt>
                <c:pt idx="26">
                  <c:v>14.989514288403914</c:v>
                </c:pt>
                <c:pt idx="27">
                  <c:v>17.051673435161675</c:v>
                </c:pt>
                <c:pt idx="28">
                  <c:v>19.410538026572961</c:v>
                </c:pt>
                <c:pt idx="29">
                  <c:v>9.1440238931687237</c:v>
                </c:pt>
                <c:pt idx="30">
                  <c:v>21.633933802695569</c:v>
                </c:pt>
                <c:pt idx="31">
                  <c:v>11.346092904310975</c:v>
                </c:pt>
                <c:pt idx="32">
                  <c:v>7.6388831418270788</c:v>
                </c:pt>
                <c:pt idx="33">
                  <c:v>18.864268292864352</c:v>
                </c:pt>
                <c:pt idx="34">
                  <c:v>7.5748305147121249</c:v>
                </c:pt>
                <c:pt idx="35">
                  <c:v>17.006826181847078</c:v>
                </c:pt>
                <c:pt idx="36">
                  <c:v>23.405900517309995</c:v>
                </c:pt>
                <c:pt idx="37">
                  <c:v>15.623477788695743</c:v>
                </c:pt>
                <c:pt idx="38">
                  <c:v>9.9086810345121901</c:v>
                </c:pt>
                <c:pt idx="39">
                  <c:v>20.447610393747123</c:v>
                </c:pt>
                <c:pt idx="40">
                  <c:v>16.37766467131113</c:v>
                </c:pt>
                <c:pt idx="41">
                  <c:v>17.295983199388978</c:v>
                </c:pt>
                <c:pt idx="42">
                  <c:v>21.595803256321947</c:v>
                </c:pt>
                <c:pt idx="43">
                  <c:v>13.963856839972715</c:v>
                </c:pt>
                <c:pt idx="44">
                  <c:v>8.8878799564485256</c:v>
                </c:pt>
                <c:pt idx="45">
                  <c:v>15.161523138521126</c:v>
                </c:pt>
                <c:pt idx="46">
                  <c:v>8.8733867326823983</c:v>
                </c:pt>
                <c:pt idx="47">
                  <c:v>21.722629895028959</c:v>
                </c:pt>
                <c:pt idx="48">
                  <c:v>16.263620181413803</c:v>
                </c:pt>
                <c:pt idx="49">
                  <c:v>8.1681656044053774</c:v>
                </c:pt>
                <c:pt idx="50">
                  <c:v>12.631211324624605</c:v>
                </c:pt>
                <c:pt idx="51">
                  <c:v>9.3398129606431795</c:v>
                </c:pt>
                <c:pt idx="52">
                  <c:v>20.662975627014507</c:v>
                </c:pt>
                <c:pt idx="53">
                  <c:v>19.944699569642697</c:v>
                </c:pt>
                <c:pt idx="54">
                  <c:v>20.374430078461266</c:v>
                </c:pt>
                <c:pt idx="55">
                  <c:v>21.292610603748713</c:v>
                </c:pt>
                <c:pt idx="56">
                  <c:v>8.5277125447268425</c:v>
                </c:pt>
                <c:pt idx="57">
                  <c:v>12.774588020808983</c:v>
                </c:pt>
                <c:pt idx="58">
                  <c:v>21.898051982898803</c:v>
                </c:pt>
                <c:pt idx="59">
                  <c:v>18.13348698070368</c:v>
                </c:pt>
                <c:pt idx="60">
                  <c:v>5.7421555840506038</c:v>
                </c:pt>
                <c:pt idx="61">
                  <c:v>22.890672079938675</c:v>
                </c:pt>
                <c:pt idx="62">
                  <c:v>16.78426072910862</c:v>
                </c:pt>
                <c:pt idx="63">
                  <c:v>13.210692016950794</c:v>
                </c:pt>
                <c:pt idx="64">
                  <c:v>16.977735563833615</c:v>
                </c:pt>
                <c:pt idx="65">
                  <c:v>7.8490453194829195</c:v>
                </c:pt>
                <c:pt idx="66">
                  <c:v>9.0160316327988195</c:v>
                </c:pt>
                <c:pt idx="67">
                  <c:v>12.037007297677002</c:v>
                </c:pt>
                <c:pt idx="68">
                  <c:v>18.976579242354177</c:v>
                </c:pt>
                <c:pt idx="69">
                  <c:v>21.108912436143427</c:v>
                </c:pt>
                <c:pt idx="70">
                  <c:v>17.779497816582293</c:v>
                </c:pt>
                <c:pt idx="71">
                  <c:v>10.626938152945893</c:v>
                </c:pt>
                <c:pt idx="72">
                  <c:v>10.366848810245022</c:v>
                </c:pt>
                <c:pt idx="73">
                  <c:v>9.9029820555921209</c:v>
                </c:pt>
                <c:pt idx="74">
                  <c:v>17.329311966972643</c:v>
                </c:pt>
                <c:pt idx="75">
                  <c:v>11.858321738983788</c:v>
                </c:pt>
                <c:pt idx="76">
                  <c:v>4.4775890405727177</c:v>
                </c:pt>
                <c:pt idx="77">
                  <c:v>13.811902227800482</c:v>
                </c:pt>
                <c:pt idx="78">
                  <c:v>8.8133135261735962</c:v>
                </c:pt>
                <c:pt idx="79">
                  <c:v>9.6753032832745074</c:v>
                </c:pt>
                <c:pt idx="80">
                  <c:v>11.445923639120625</c:v>
                </c:pt>
                <c:pt idx="81">
                  <c:v>14.647940925761016</c:v>
                </c:pt>
                <c:pt idx="82">
                  <c:v>10.178407991809921</c:v>
                </c:pt>
                <c:pt idx="83">
                  <c:v>14.421842119156549</c:v>
                </c:pt>
                <c:pt idx="84">
                  <c:v>20.781364636833885</c:v>
                </c:pt>
                <c:pt idx="85">
                  <c:v>15.181407889846495</c:v>
                </c:pt>
                <c:pt idx="86">
                  <c:v>11.59870739427725</c:v>
                </c:pt>
                <c:pt idx="87">
                  <c:v>15.593784747966524</c:v>
                </c:pt>
                <c:pt idx="88">
                  <c:v>11.711271005267474</c:v>
                </c:pt>
                <c:pt idx="89">
                  <c:v>16.922255106768954</c:v>
                </c:pt>
                <c:pt idx="90">
                  <c:v>9.9992296517234802</c:v>
                </c:pt>
                <c:pt idx="91">
                  <c:v>4.4963159844593772</c:v>
                </c:pt>
                <c:pt idx="92">
                  <c:v>19.156396162353211</c:v>
                </c:pt>
                <c:pt idx="93">
                  <c:v>21.22757378476209</c:v>
                </c:pt>
                <c:pt idx="94">
                  <c:v>10.482123854060985</c:v>
                </c:pt>
                <c:pt idx="95">
                  <c:v>16.3149211249941</c:v>
                </c:pt>
                <c:pt idx="96">
                  <c:v>12.63571716170908</c:v>
                </c:pt>
                <c:pt idx="97">
                  <c:v>15.337077822510238</c:v>
                </c:pt>
                <c:pt idx="98">
                  <c:v>24.118607229753348</c:v>
                </c:pt>
                <c:pt idx="99">
                  <c:v>16.940350209868626</c:v>
                </c:pt>
                <c:pt idx="100">
                  <c:v>13.875958437972796</c:v>
                </c:pt>
                <c:pt idx="101">
                  <c:v>23.242486848584214</c:v>
                </c:pt>
                <c:pt idx="102">
                  <c:v>17.644093845826685</c:v>
                </c:pt>
                <c:pt idx="103">
                  <c:v>14.762211416061408</c:v>
                </c:pt>
                <c:pt idx="104">
                  <c:v>20.301108784104397</c:v>
                </c:pt>
                <c:pt idx="105">
                  <c:v>17.936414673257321</c:v>
                </c:pt>
                <c:pt idx="106">
                  <c:v>6.1260221485830586</c:v>
                </c:pt>
                <c:pt idx="107">
                  <c:v>7.108502485117369</c:v>
                </c:pt>
                <c:pt idx="108">
                  <c:v>3.5872584098050151</c:v>
                </c:pt>
                <c:pt idx="109">
                  <c:v>19.692931062134029</c:v>
                </c:pt>
                <c:pt idx="110">
                  <c:v>14.759874095117553</c:v>
                </c:pt>
                <c:pt idx="111">
                  <c:v>21.14027498033532</c:v>
                </c:pt>
                <c:pt idx="112">
                  <c:v>13.880609853211171</c:v>
                </c:pt>
                <c:pt idx="113">
                  <c:v>16.403776229871259</c:v>
                </c:pt>
                <c:pt idx="114">
                  <c:v>15.305095925878035</c:v>
                </c:pt>
                <c:pt idx="115">
                  <c:v>12.919688951958426</c:v>
                </c:pt>
                <c:pt idx="116">
                  <c:v>11.978747436893686</c:v>
                </c:pt>
                <c:pt idx="117">
                  <c:v>6.5707773987577056</c:v>
                </c:pt>
                <c:pt idx="118">
                  <c:v>15.566093478520511</c:v>
                </c:pt>
                <c:pt idx="119">
                  <c:v>6.8200676671381784</c:v>
                </c:pt>
                <c:pt idx="120">
                  <c:v>14.410106047152565</c:v>
                </c:pt>
                <c:pt idx="121">
                  <c:v>7.8380764218051215</c:v>
                </c:pt>
                <c:pt idx="122">
                  <c:v>13.626457100609532</c:v>
                </c:pt>
                <c:pt idx="123">
                  <c:v>15.08279089666202</c:v>
                </c:pt>
                <c:pt idx="124">
                  <c:v>19.454413064179416</c:v>
                </c:pt>
                <c:pt idx="125">
                  <c:v>9.1273495830047597</c:v>
                </c:pt>
                <c:pt idx="126">
                  <c:v>10.577174114180366</c:v>
                </c:pt>
                <c:pt idx="127">
                  <c:v>6.59966899899152</c:v>
                </c:pt>
                <c:pt idx="128">
                  <c:v>22.25549161453959</c:v>
                </c:pt>
                <c:pt idx="129">
                  <c:v>7.8841064914888364</c:v>
                </c:pt>
                <c:pt idx="130">
                  <c:v>10.427687101769544</c:v>
                </c:pt>
                <c:pt idx="131">
                  <c:v>15.577798192467164</c:v>
                </c:pt>
                <c:pt idx="132">
                  <c:v>8.4491501160707134</c:v>
                </c:pt>
                <c:pt idx="133">
                  <c:v>19.266923071099967</c:v>
                </c:pt>
                <c:pt idx="134">
                  <c:v>11.836803896219831</c:v>
                </c:pt>
                <c:pt idx="135">
                  <c:v>14.001413849249673</c:v>
                </c:pt>
                <c:pt idx="136">
                  <c:v>11.453486267632533</c:v>
                </c:pt>
                <c:pt idx="137">
                  <c:v>20.851251984901999</c:v>
                </c:pt>
                <c:pt idx="138">
                  <c:v>9.7684279548522408</c:v>
                </c:pt>
                <c:pt idx="139">
                  <c:v>19.675476318699388</c:v>
                </c:pt>
                <c:pt idx="140">
                  <c:v>9.489640973247127</c:v>
                </c:pt>
                <c:pt idx="141">
                  <c:v>18.39902931906315</c:v>
                </c:pt>
                <c:pt idx="142">
                  <c:v>19.249869267749116</c:v>
                </c:pt>
                <c:pt idx="143">
                  <c:v>8.7648026198665843</c:v>
                </c:pt>
                <c:pt idx="144">
                  <c:v>10.09133403330576</c:v>
                </c:pt>
                <c:pt idx="145">
                  <c:v>9.708538721613996</c:v>
                </c:pt>
                <c:pt idx="146">
                  <c:v>15.29422367733372</c:v>
                </c:pt>
                <c:pt idx="147">
                  <c:v>23.260861031422419</c:v>
                </c:pt>
                <c:pt idx="148">
                  <c:v>12.263359411362689</c:v>
                </c:pt>
                <c:pt idx="149">
                  <c:v>9.8272711011303482</c:v>
                </c:pt>
                <c:pt idx="150">
                  <c:v>18.367205341380927</c:v>
                </c:pt>
                <c:pt idx="151">
                  <c:v>10.009537700506844</c:v>
                </c:pt>
                <c:pt idx="152">
                  <c:v>16.360000304436973</c:v>
                </c:pt>
                <c:pt idx="153">
                  <c:v>18.223901319920376</c:v>
                </c:pt>
                <c:pt idx="154">
                  <c:v>15.501616959053665</c:v>
                </c:pt>
                <c:pt idx="155">
                  <c:v>5.3075589017356029</c:v>
                </c:pt>
                <c:pt idx="156">
                  <c:v>15.384851915018084</c:v>
                </c:pt>
                <c:pt idx="157">
                  <c:v>10.014311199739465</c:v>
                </c:pt>
                <c:pt idx="158">
                  <c:v>10.38419866004938</c:v>
                </c:pt>
                <c:pt idx="159">
                  <c:v>12.399148227960556</c:v>
                </c:pt>
                <c:pt idx="160">
                  <c:v>14.213832980330974</c:v>
                </c:pt>
                <c:pt idx="161">
                  <c:v>13.559145683664621</c:v>
                </c:pt>
                <c:pt idx="162">
                  <c:v>14.946782057588425</c:v>
                </c:pt>
                <c:pt idx="163">
                  <c:v>17.351636075492511</c:v>
                </c:pt>
                <c:pt idx="164">
                  <c:v>11.068294603100242</c:v>
                </c:pt>
                <c:pt idx="165">
                  <c:v>14.223721376270053</c:v>
                </c:pt>
                <c:pt idx="166">
                  <c:v>10.824395309518028</c:v>
                </c:pt>
                <c:pt idx="167">
                  <c:v>13.363246772586256</c:v>
                </c:pt>
                <c:pt idx="168">
                  <c:v>17.186142800575041</c:v>
                </c:pt>
                <c:pt idx="169">
                  <c:v>17.941556296290063</c:v>
                </c:pt>
                <c:pt idx="170">
                  <c:v>7.3949799664989024</c:v>
                </c:pt>
                <c:pt idx="171">
                  <c:v>14.358273730249413</c:v>
                </c:pt>
                <c:pt idx="172">
                  <c:v>7.6076923787190207</c:v>
                </c:pt>
                <c:pt idx="173">
                  <c:v>11.970938873323922</c:v>
                </c:pt>
                <c:pt idx="174">
                  <c:v>13.744357417405292</c:v>
                </c:pt>
                <c:pt idx="175">
                  <c:v>24.786870314183684</c:v>
                </c:pt>
                <c:pt idx="176">
                  <c:v>19.979372702747675</c:v>
                </c:pt>
                <c:pt idx="177">
                  <c:v>12.16204640283491</c:v>
                </c:pt>
                <c:pt idx="178">
                  <c:v>16.010997220773103</c:v>
                </c:pt>
                <c:pt idx="179">
                  <c:v>12.384554948507715</c:v>
                </c:pt>
                <c:pt idx="180">
                  <c:v>10.587199699509453</c:v>
                </c:pt>
                <c:pt idx="181">
                  <c:v>13.928099183458238</c:v>
                </c:pt>
                <c:pt idx="182">
                  <c:v>6.5546699971249796</c:v>
                </c:pt>
                <c:pt idx="183">
                  <c:v>24.133100129464747</c:v>
                </c:pt>
                <c:pt idx="184">
                  <c:v>18.538520955122785</c:v>
                </c:pt>
                <c:pt idx="185">
                  <c:v>20.803010587194397</c:v>
                </c:pt>
                <c:pt idx="186">
                  <c:v>9.6913731310857365</c:v>
                </c:pt>
                <c:pt idx="187">
                  <c:v>17.076442228165288</c:v>
                </c:pt>
                <c:pt idx="188">
                  <c:v>18.644306480608996</c:v>
                </c:pt>
                <c:pt idx="189">
                  <c:v>6.051624106991679</c:v>
                </c:pt>
                <c:pt idx="190">
                  <c:v>12.489159100639457</c:v>
                </c:pt>
                <c:pt idx="191">
                  <c:v>8.4240193258036822</c:v>
                </c:pt>
                <c:pt idx="192">
                  <c:v>4.4662295605146429</c:v>
                </c:pt>
                <c:pt idx="193">
                  <c:v>18.486957967031397</c:v>
                </c:pt>
                <c:pt idx="194">
                  <c:v>16.495300438165646</c:v>
                </c:pt>
                <c:pt idx="195">
                  <c:v>5.3703424844667875</c:v>
                </c:pt>
                <c:pt idx="196">
                  <c:v>8.1653123606130116</c:v>
                </c:pt>
                <c:pt idx="197">
                  <c:v>12.785920816932238</c:v>
                </c:pt>
                <c:pt idx="198">
                  <c:v>23.767321491762818</c:v>
                </c:pt>
                <c:pt idx="199">
                  <c:v>15.173195535684206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D1-4C86-BCC3-D0016BD3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057216"/>
        <c:axId val="1550867520"/>
      </c:scatterChart>
      <c:valAx>
        <c:axId val="105905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Newspaper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50867520"/>
        <c:crosses val="autoZero"/>
        <c:crossBetween val="midCat"/>
      </c:valAx>
      <c:valAx>
        <c:axId val="1550867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5905721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layout>
        <c:manualLayout>
          <c:xMode val="edge"/>
          <c:yMode val="edge"/>
          <c:x val="0.24027777777777778"/>
          <c:y val="3.9408866995073892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Sheet1!$F$27:$F$226</c:f>
              <c:numCache>
                <c:formatCode>General</c:formatCode>
                <c:ptCount val="200"/>
                <c:pt idx="0">
                  <c:v>0.25</c:v>
                </c:pt>
                <c:pt idx="1">
                  <c:v>0.75</c:v>
                </c:pt>
                <c:pt idx="2">
                  <c:v>1.25</c:v>
                </c:pt>
                <c:pt idx="3">
                  <c:v>1.75</c:v>
                </c:pt>
                <c:pt idx="4">
                  <c:v>2.25</c:v>
                </c:pt>
                <c:pt idx="5">
                  <c:v>2.75</c:v>
                </c:pt>
                <c:pt idx="6">
                  <c:v>3.25</c:v>
                </c:pt>
                <c:pt idx="7">
                  <c:v>3.75</c:v>
                </c:pt>
                <c:pt idx="8">
                  <c:v>4.25</c:v>
                </c:pt>
                <c:pt idx="9">
                  <c:v>4.75</c:v>
                </c:pt>
                <c:pt idx="10">
                  <c:v>5.25</c:v>
                </c:pt>
                <c:pt idx="11">
                  <c:v>5.75</c:v>
                </c:pt>
                <c:pt idx="12">
                  <c:v>6.25</c:v>
                </c:pt>
                <c:pt idx="13">
                  <c:v>6.75</c:v>
                </c:pt>
                <c:pt idx="14">
                  <c:v>7.25</c:v>
                </c:pt>
                <c:pt idx="15">
                  <c:v>7.75</c:v>
                </c:pt>
                <c:pt idx="16">
                  <c:v>8.25</c:v>
                </c:pt>
                <c:pt idx="17">
                  <c:v>8.75</c:v>
                </c:pt>
                <c:pt idx="18">
                  <c:v>9.25</c:v>
                </c:pt>
                <c:pt idx="19">
                  <c:v>9.75</c:v>
                </c:pt>
                <c:pt idx="20">
                  <c:v>10.25</c:v>
                </c:pt>
                <c:pt idx="21">
                  <c:v>10.75</c:v>
                </c:pt>
                <c:pt idx="22">
                  <c:v>11.25</c:v>
                </c:pt>
                <c:pt idx="23">
                  <c:v>11.75</c:v>
                </c:pt>
                <c:pt idx="24">
                  <c:v>12.25</c:v>
                </c:pt>
                <c:pt idx="25">
                  <c:v>12.75</c:v>
                </c:pt>
                <c:pt idx="26">
                  <c:v>13.25</c:v>
                </c:pt>
                <c:pt idx="27">
                  <c:v>13.75</c:v>
                </c:pt>
                <c:pt idx="28">
                  <c:v>14.25</c:v>
                </c:pt>
                <c:pt idx="29">
                  <c:v>14.75</c:v>
                </c:pt>
                <c:pt idx="30">
                  <c:v>15.25</c:v>
                </c:pt>
                <c:pt idx="31">
                  <c:v>15.75</c:v>
                </c:pt>
                <c:pt idx="32">
                  <c:v>16.25</c:v>
                </c:pt>
                <c:pt idx="33">
                  <c:v>16.75</c:v>
                </c:pt>
                <c:pt idx="34">
                  <c:v>17.25</c:v>
                </c:pt>
                <c:pt idx="35">
                  <c:v>17.75</c:v>
                </c:pt>
                <c:pt idx="36">
                  <c:v>18.25</c:v>
                </c:pt>
                <c:pt idx="37">
                  <c:v>18.75</c:v>
                </c:pt>
                <c:pt idx="38">
                  <c:v>19.25</c:v>
                </c:pt>
                <c:pt idx="39">
                  <c:v>19.75</c:v>
                </c:pt>
                <c:pt idx="40">
                  <c:v>20.25</c:v>
                </c:pt>
                <c:pt idx="41">
                  <c:v>20.75</c:v>
                </c:pt>
                <c:pt idx="42">
                  <c:v>21.25</c:v>
                </c:pt>
                <c:pt idx="43">
                  <c:v>21.75</c:v>
                </c:pt>
                <c:pt idx="44">
                  <c:v>22.25</c:v>
                </c:pt>
                <c:pt idx="45">
                  <c:v>22.75</c:v>
                </c:pt>
                <c:pt idx="46">
                  <c:v>23.25</c:v>
                </c:pt>
                <c:pt idx="47">
                  <c:v>23.75</c:v>
                </c:pt>
                <c:pt idx="48">
                  <c:v>24.25</c:v>
                </c:pt>
                <c:pt idx="49">
                  <c:v>24.75</c:v>
                </c:pt>
                <c:pt idx="50">
                  <c:v>25.25</c:v>
                </c:pt>
                <c:pt idx="51">
                  <c:v>25.75</c:v>
                </c:pt>
                <c:pt idx="52">
                  <c:v>26.25</c:v>
                </c:pt>
                <c:pt idx="53">
                  <c:v>26.75</c:v>
                </c:pt>
                <c:pt idx="54">
                  <c:v>27.25</c:v>
                </c:pt>
                <c:pt idx="55">
                  <c:v>27.75</c:v>
                </c:pt>
                <c:pt idx="56">
                  <c:v>28.25</c:v>
                </c:pt>
                <c:pt idx="57">
                  <c:v>28.75</c:v>
                </c:pt>
                <c:pt idx="58">
                  <c:v>29.25</c:v>
                </c:pt>
                <c:pt idx="59">
                  <c:v>29.75</c:v>
                </c:pt>
                <c:pt idx="60">
                  <c:v>30.25</c:v>
                </c:pt>
                <c:pt idx="61">
                  <c:v>30.75</c:v>
                </c:pt>
                <c:pt idx="62">
                  <c:v>31.25</c:v>
                </c:pt>
                <c:pt idx="63">
                  <c:v>31.75</c:v>
                </c:pt>
                <c:pt idx="64">
                  <c:v>32.25</c:v>
                </c:pt>
                <c:pt idx="65">
                  <c:v>32.75</c:v>
                </c:pt>
                <c:pt idx="66">
                  <c:v>33.25</c:v>
                </c:pt>
                <c:pt idx="67">
                  <c:v>33.75</c:v>
                </c:pt>
                <c:pt idx="68">
                  <c:v>34.25</c:v>
                </c:pt>
                <c:pt idx="69">
                  <c:v>34.75</c:v>
                </c:pt>
                <c:pt idx="70">
                  <c:v>35.25</c:v>
                </c:pt>
                <c:pt idx="71">
                  <c:v>35.75</c:v>
                </c:pt>
                <c:pt idx="72">
                  <c:v>36.25</c:v>
                </c:pt>
                <c:pt idx="73">
                  <c:v>36.75</c:v>
                </c:pt>
                <c:pt idx="74">
                  <c:v>37.25</c:v>
                </c:pt>
                <c:pt idx="75">
                  <c:v>37.75</c:v>
                </c:pt>
                <c:pt idx="76">
                  <c:v>38.25</c:v>
                </c:pt>
                <c:pt idx="77">
                  <c:v>38.75</c:v>
                </c:pt>
                <c:pt idx="78">
                  <c:v>39.25</c:v>
                </c:pt>
                <c:pt idx="79">
                  <c:v>39.75</c:v>
                </c:pt>
                <c:pt idx="80">
                  <c:v>40.25</c:v>
                </c:pt>
                <c:pt idx="81">
                  <c:v>40.75</c:v>
                </c:pt>
                <c:pt idx="82">
                  <c:v>41.25</c:v>
                </c:pt>
                <c:pt idx="83">
                  <c:v>41.75</c:v>
                </c:pt>
                <c:pt idx="84">
                  <c:v>42.25</c:v>
                </c:pt>
                <c:pt idx="85">
                  <c:v>42.75</c:v>
                </c:pt>
                <c:pt idx="86">
                  <c:v>43.25</c:v>
                </c:pt>
                <c:pt idx="87">
                  <c:v>43.75</c:v>
                </c:pt>
                <c:pt idx="88">
                  <c:v>44.25</c:v>
                </c:pt>
                <c:pt idx="89">
                  <c:v>44.75</c:v>
                </c:pt>
                <c:pt idx="90">
                  <c:v>45.25</c:v>
                </c:pt>
                <c:pt idx="91">
                  <c:v>45.75</c:v>
                </c:pt>
                <c:pt idx="92">
                  <c:v>46.25</c:v>
                </c:pt>
                <c:pt idx="93">
                  <c:v>46.75</c:v>
                </c:pt>
                <c:pt idx="94">
                  <c:v>47.25</c:v>
                </c:pt>
                <c:pt idx="95">
                  <c:v>47.75</c:v>
                </c:pt>
                <c:pt idx="96">
                  <c:v>48.25</c:v>
                </c:pt>
                <c:pt idx="97">
                  <c:v>48.75</c:v>
                </c:pt>
                <c:pt idx="98">
                  <c:v>49.25</c:v>
                </c:pt>
                <c:pt idx="99">
                  <c:v>49.75</c:v>
                </c:pt>
                <c:pt idx="100">
                  <c:v>50.25</c:v>
                </c:pt>
                <c:pt idx="101">
                  <c:v>50.75</c:v>
                </c:pt>
                <c:pt idx="102">
                  <c:v>51.25</c:v>
                </c:pt>
                <c:pt idx="103">
                  <c:v>51.75</c:v>
                </c:pt>
                <c:pt idx="104">
                  <c:v>52.25</c:v>
                </c:pt>
                <c:pt idx="105">
                  <c:v>52.75</c:v>
                </c:pt>
                <c:pt idx="106">
                  <c:v>53.25</c:v>
                </c:pt>
                <c:pt idx="107">
                  <c:v>53.75</c:v>
                </c:pt>
                <c:pt idx="108">
                  <c:v>54.25</c:v>
                </c:pt>
                <c:pt idx="109">
                  <c:v>54.75</c:v>
                </c:pt>
                <c:pt idx="110">
                  <c:v>55.25</c:v>
                </c:pt>
                <c:pt idx="111">
                  <c:v>55.75</c:v>
                </c:pt>
                <c:pt idx="112">
                  <c:v>56.25</c:v>
                </c:pt>
                <c:pt idx="113">
                  <c:v>56.75</c:v>
                </c:pt>
                <c:pt idx="114">
                  <c:v>57.25</c:v>
                </c:pt>
                <c:pt idx="115">
                  <c:v>57.75</c:v>
                </c:pt>
                <c:pt idx="116">
                  <c:v>58.25</c:v>
                </c:pt>
                <c:pt idx="117">
                  <c:v>58.75</c:v>
                </c:pt>
                <c:pt idx="118">
                  <c:v>59.25</c:v>
                </c:pt>
                <c:pt idx="119">
                  <c:v>59.75</c:v>
                </c:pt>
                <c:pt idx="120">
                  <c:v>60.25</c:v>
                </c:pt>
                <c:pt idx="121">
                  <c:v>60.75</c:v>
                </c:pt>
                <c:pt idx="122">
                  <c:v>61.25</c:v>
                </c:pt>
                <c:pt idx="123">
                  <c:v>61.75</c:v>
                </c:pt>
                <c:pt idx="124">
                  <c:v>62.25</c:v>
                </c:pt>
                <c:pt idx="125">
                  <c:v>62.75</c:v>
                </c:pt>
                <c:pt idx="126">
                  <c:v>63.25</c:v>
                </c:pt>
                <c:pt idx="127">
                  <c:v>63.75</c:v>
                </c:pt>
                <c:pt idx="128">
                  <c:v>64.25</c:v>
                </c:pt>
                <c:pt idx="129">
                  <c:v>64.75</c:v>
                </c:pt>
                <c:pt idx="130">
                  <c:v>65.25</c:v>
                </c:pt>
                <c:pt idx="131">
                  <c:v>65.75</c:v>
                </c:pt>
                <c:pt idx="132">
                  <c:v>66.25</c:v>
                </c:pt>
                <c:pt idx="133">
                  <c:v>66.75</c:v>
                </c:pt>
                <c:pt idx="134">
                  <c:v>67.25</c:v>
                </c:pt>
                <c:pt idx="135">
                  <c:v>67.75</c:v>
                </c:pt>
                <c:pt idx="136">
                  <c:v>68.25</c:v>
                </c:pt>
                <c:pt idx="137">
                  <c:v>68.75</c:v>
                </c:pt>
                <c:pt idx="138">
                  <c:v>69.25</c:v>
                </c:pt>
                <c:pt idx="139">
                  <c:v>69.75</c:v>
                </c:pt>
                <c:pt idx="140">
                  <c:v>70.25</c:v>
                </c:pt>
                <c:pt idx="141">
                  <c:v>70.75</c:v>
                </c:pt>
                <c:pt idx="142">
                  <c:v>71.25</c:v>
                </c:pt>
                <c:pt idx="143">
                  <c:v>71.75</c:v>
                </c:pt>
                <c:pt idx="144">
                  <c:v>72.25</c:v>
                </c:pt>
                <c:pt idx="145">
                  <c:v>72.75</c:v>
                </c:pt>
                <c:pt idx="146">
                  <c:v>73.25</c:v>
                </c:pt>
                <c:pt idx="147">
                  <c:v>73.75</c:v>
                </c:pt>
                <c:pt idx="148">
                  <c:v>74.25</c:v>
                </c:pt>
                <c:pt idx="149">
                  <c:v>74.75</c:v>
                </c:pt>
                <c:pt idx="150">
                  <c:v>75.25</c:v>
                </c:pt>
                <c:pt idx="151">
                  <c:v>75.75</c:v>
                </c:pt>
                <c:pt idx="152">
                  <c:v>76.25</c:v>
                </c:pt>
                <c:pt idx="153">
                  <c:v>76.75</c:v>
                </c:pt>
                <c:pt idx="154">
                  <c:v>77.25</c:v>
                </c:pt>
                <c:pt idx="155">
                  <c:v>77.75</c:v>
                </c:pt>
                <c:pt idx="156">
                  <c:v>78.25</c:v>
                </c:pt>
                <c:pt idx="157">
                  <c:v>78.75</c:v>
                </c:pt>
                <c:pt idx="158">
                  <c:v>79.25</c:v>
                </c:pt>
                <c:pt idx="159">
                  <c:v>79.75</c:v>
                </c:pt>
                <c:pt idx="160">
                  <c:v>80.25</c:v>
                </c:pt>
                <c:pt idx="161">
                  <c:v>80.75</c:v>
                </c:pt>
                <c:pt idx="162">
                  <c:v>81.25</c:v>
                </c:pt>
                <c:pt idx="163">
                  <c:v>81.75</c:v>
                </c:pt>
                <c:pt idx="164">
                  <c:v>82.25</c:v>
                </c:pt>
                <c:pt idx="165">
                  <c:v>82.75</c:v>
                </c:pt>
                <c:pt idx="166">
                  <c:v>83.25</c:v>
                </c:pt>
                <c:pt idx="167">
                  <c:v>83.75</c:v>
                </c:pt>
                <c:pt idx="168">
                  <c:v>84.25</c:v>
                </c:pt>
                <c:pt idx="169">
                  <c:v>84.75</c:v>
                </c:pt>
                <c:pt idx="170">
                  <c:v>85.25</c:v>
                </c:pt>
                <c:pt idx="171">
                  <c:v>85.75</c:v>
                </c:pt>
                <c:pt idx="172">
                  <c:v>86.25</c:v>
                </c:pt>
                <c:pt idx="173">
                  <c:v>86.75</c:v>
                </c:pt>
                <c:pt idx="174">
                  <c:v>87.25</c:v>
                </c:pt>
                <c:pt idx="175">
                  <c:v>87.75</c:v>
                </c:pt>
                <c:pt idx="176">
                  <c:v>88.25</c:v>
                </c:pt>
                <c:pt idx="177">
                  <c:v>88.75</c:v>
                </c:pt>
                <c:pt idx="178">
                  <c:v>89.25</c:v>
                </c:pt>
                <c:pt idx="179">
                  <c:v>89.75</c:v>
                </c:pt>
                <c:pt idx="180">
                  <c:v>90.25</c:v>
                </c:pt>
                <c:pt idx="181">
                  <c:v>90.75</c:v>
                </c:pt>
                <c:pt idx="182">
                  <c:v>91.25</c:v>
                </c:pt>
                <c:pt idx="183">
                  <c:v>91.75</c:v>
                </c:pt>
                <c:pt idx="184">
                  <c:v>92.25</c:v>
                </c:pt>
                <c:pt idx="185">
                  <c:v>92.75</c:v>
                </c:pt>
                <c:pt idx="186">
                  <c:v>93.25</c:v>
                </c:pt>
                <c:pt idx="187">
                  <c:v>93.75</c:v>
                </c:pt>
                <c:pt idx="188">
                  <c:v>94.25</c:v>
                </c:pt>
                <c:pt idx="189">
                  <c:v>94.75</c:v>
                </c:pt>
                <c:pt idx="190">
                  <c:v>95.25</c:v>
                </c:pt>
                <c:pt idx="191">
                  <c:v>95.75</c:v>
                </c:pt>
                <c:pt idx="192">
                  <c:v>96.25</c:v>
                </c:pt>
                <c:pt idx="193">
                  <c:v>96.75</c:v>
                </c:pt>
                <c:pt idx="194">
                  <c:v>97.25</c:v>
                </c:pt>
                <c:pt idx="195">
                  <c:v>97.75</c:v>
                </c:pt>
                <c:pt idx="196">
                  <c:v>98.25</c:v>
                </c:pt>
                <c:pt idx="197">
                  <c:v>98.75</c:v>
                </c:pt>
                <c:pt idx="198">
                  <c:v>99.25</c:v>
                </c:pt>
                <c:pt idx="199">
                  <c:v>99.75</c:v>
                </c:pt>
              </c:numCache>
            </c:numRef>
          </c:xVal>
          <c:yVal>
            <c:numRef>
              <c:f>Sheet1!$G$27:$G$226</c:f>
              <c:numCache>
                <c:formatCode>General</c:formatCode>
                <c:ptCount val="200"/>
                <c:pt idx="0">
                  <c:v>1.6</c:v>
                </c:pt>
                <c:pt idx="1">
                  <c:v>3.2</c:v>
                </c:pt>
                <c:pt idx="2">
                  <c:v>4.8</c:v>
                </c:pt>
                <c:pt idx="3">
                  <c:v>5.3</c:v>
                </c:pt>
                <c:pt idx="4">
                  <c:v>5.3</c:v>
                </c:pt>
                <c:pt idx="5">
                  <c:v>5.5</c:v>
                </c:pt>
                <c:pt idx="6">
                  <c:v>5.6</c:v>
                </c:pt>
                <c:pt idx="7">
                  <c:v>5.7</c:v>
                </c:pt>
                <c:pt idx="8">
                  <c:v>5.9</c:v>
                </c:pt>
                <c:pt idx="9">
                  <c:v>6.6</c:v>
                </c:pt>
                <c:pt idx="10">
                  <c:v>6.6</c:v>
                </c:pt>
                <c:pt idx="11">
                  <c:v>6.7</c:v>
                </c:pt>
                <c:pt idx="12">
                  <c:v>6.9</c:v>
                </c:pt>
                <c:pt idx="13">
                  <c:v>7</c:v>
                </c:pt>
                <c:pt idx="14">
                  <c:v>7.2</c:v>
                </c:pt>
                <c:pt idx="15">
                  <c:v>7.2</c:v>
                </c:pt>
                <c:pt idx="16">
                  <c:v>7.3</c:v>
                </c:pt>
                <c:pt idx="17">
                  <c:v>7.3</c:v>
                </c:pt>
                <c:pt idx="18">
                  <c:v>7.6</c:v>
                </c:pt>
                <c:pt idx="19">
                  <c:v>7.6</c:v>
                </c:pt>
                <c:pt idx="20">
                  <c:v>8</c:v>
                </c:pt>
                <c:pt idx="21">
                  <c:v>8.1</c:v>
                </c:pt>
                <c:pt idx="22">
                  <c:v>8.4</c:v>
                </c:pt>
                <c:pt idx="23">
                  <c:v>8.5</c:v>
                </c:pt>
                <c:pt idx="24">
                  <c:v>8.6</c:v>
                </c:pt>
                <c:pt idx="25">
                  <c:v>8.6999999999999993</c:v>
                </c:pt>
                <c:pt idx="26">
                  <c:v>8.6999999999999993</c:v>
                </c:pt>
                <c:pt idx="27">
                  <c:v>8.6999999999999993</c:v>
                </c:pt>
                <c:pt idx="28">
                  <c:v>8.8000000000000007</c:v>
                </c:pt>
                <c:pt idx="29">
                  <c:v>8.8000000000000007</c:v>
                </c:pt>
                <c:pt idx="30">
                  <c:v>9.1999999999999993</c:v>
                </c:pt>
                <c:pt idx="31">
                  <c:v>9.3000000000000007</c:v>
                </c:pt>
                <c:pt idx="32">
                  <c:v>9.3000000000000007</c:v>
                </c:pt>
                <c:pt idx="33">
                  <c:v>9.4</c:v>
                </c:pt>
                <c:pt idx="34">
                  <c:v>9.5</c:v>
                </c:pt>
                <c:pt idx="35">
                  <c:v>9.5</c:v>
                </c:pt>
                <c:pt idx="36">
                  <c:v>9.5</c:v>
                </c:pt>
                <c:pt idx="37">
                  <c:v>9.6</c:v>
                </c:pt>
                <c:pt idx="38">
                  <c:v>9.6</c:v>
                </c:pt>
                <c:pt idx="39">
                  <c:v>9.6999999999999993</c:v>
                </c:pt>
                <c:pt idx="40">
                  <c:v>9.6999999999999993</c:v>
                </c:pt>
                <c:pt idx="41">
                  <c:v>9.6999999999999993</c:v>
                </c:pt>
                <c:pt idx="42">
                  <c:v>9.6999999999999993</c:v>
                </c:pt>
                <c:pt idx="43">
                  <c:v>9.6999999999999993</c:v>
                </c:pt>
                <c:pt idx="44">
                  <c:v>9.9</c:v>
                </c:pt>
                <c:pt idx="45">
                  <c:v>10.1</c:v>
                </c:pt>
                <c:pt idx="46">
                  <c:v>10.1</c:v>
                </c:pt>
                <c:pt idx="47">
                  <c:v>10.1</c:v>
                </c:pt>
                <c:pt idx="48">
                  <c:v>10.3</c:v>
                </c:pt>
                <c:pt idx="49">
                  <c:v>10.3</c:v>
                </c:pt>
                <c:pt idx="50">
                  <c:v>10.4</c:v>
                </c:pt>
                <c:pt idx="51">
                  <c:v>10.4</c:v>
                </c:pt>
                <c:pt idx="52">
                  <c:v>10.5</c:v>
                </c:pt>
                <c:pt idx="53">
                  <c:v>10.5</c:v>
                </c:pt>
                <c:pt idx="54">
                  <c:v>10.6</c:v>
                </c:pt>
                <c:pt idx="55">
                  <c:v>10.6</c:v>
                </c:pt>
                <c:pt idx="56">
                  <c:v>10.6</c:v>
                </c:pt>
                <c:pt idx="57">
                  <c:v>10.7</c:v>
                </c:pt>
                <c:pt idx="58">
                  <c:v>10.8</c:v>
                </c:pt>
                <c:pt idx="59">
                  <c:v>10.8</c:v>
                </c:pt>
                <c:pt idx="60">
                  <c:v>10.9</c:v>
                </c:pt>
                <c:pt idx="61">
                  <c:v>10.9</c:v>
                </c:pt>
                <c:pt idx="62">
                  <c:v>11</c:v>
                </c:pt>
                <c:pt idx="63">
                  <c:v>11</c:v>
                </c:pt>
                <c:pt idx="64">
                  <c:v>11.2</c:v>
                </c:pt>
                <c:pt idx="65">
                  <c:v>11.3</c:v>
                </c:pt>
                <c:pt idx="66">
                  <c:v>11.3</c:v>
                </c:pt>
                <c:pt idx="67">
                  <c:v>11.4</c:v>
                </c:pt>
                <c:pt idx="68">
                  <c:v>11.4</c:v>
                </c:pt>
                <c:pt idx="69">
                  <c:v>11.5</c:v>
                </c:pt>
                <c:pt idx="70">
                  <c:v>11.5</c:v>
                </c:pt>
                <c:pt idx="71">
                  <c:v>11.6</c:v>
                </c:pt>
                <c:pt idx="72">
                  <c:v>11.6</c:v>
                </c:pt>
                <c:pt idx="73">
                  <c:v>11.6</c:v>
                </c:pt>
                <c:pt idx="74">
                  <c:v>11.7</c:v>
                </c:pt>
                <c:pt idx="75">
                  <c:v>11.7</c:v>
                </c:pt>
                <c:pt idx="76">
                  <c:v>11.7</c:v>
                </c:pt>
                <c:pt idx="77">
                  <c:v>11.7</c:v>
                </c:pt>
                <c:pt idx="78">
                  <c:v>11.8</c:v>
                </c:pt>
                <c:pt idx="79">
                  <c:v>11.8</c:v>
                </c:pt>
                <c:pt idx="80">
                  <c:v>11.8</c:v>
                </c:pt>
                <c:pt idx="81">
                  <c:v>11.9</c:v>
                </c:pt>
                <c:pt idx="82">
                  <c:v>11.9</c:v>
                </c:pt>
                <c:pt idx="83">
                  <c:v>11.9</c:v>
                </c:pt>
                <c:pt idx="84">
                  <c:v>12</c:v>
                </c:pt>
                <c:pt idx="85">
                  <c:v>12</c:v>
                </c:pt>
                <c:pt idx="86">
                  <c:v>12.2</c:v>
                </c:pt>
                <c:pt idx="87">
                  <c:v>12.2</c:v>
                </c:pt>
                <c:pt idx="88">
                  <c:v>12.2</c:v>
                </c:pt>
                <c:pt idx="89">
                  <c:v>12.3</c:v>
                </c:pt>
                <c:pt idx="90">
                  <c:v>12.4</c:v>
                </c:pt>
                <c:pt idx="91">
                  <c:v>12.5</c:v>
                </c:pt>
                <c:pt idx="92">
                  <c:v>12.5</c:v>
                </c:pt>
                <c:pt idx="93">
                  <c:v>12.6</c:v>
                </c:pt>
                <c:pt idx="94">
                  <c:v>12.6</c:v>
                </c:pt>
                <c:pt idx="95">
                  <c:v>12.7</c:v>
                </c:pt>
                <c:pt idx="96">
                  <c:v>12.8</c:v>
                </c:pt>
                <c:pt idx="97">
                  <c:v>12.8</c:v>
                </c:pt>
                <c:pt idx="98">
                  <c:v>12.9</c:v>
                </c:pt>
                <c:pt idx="99">
                  <c:v>12.9</c:v>
                </c:pt>
                <c:pt idx="100">
                  <c:v>12.9</c:v>
                </c:pt>
                <c:pt idx="101">
                  <c:v>12.9</c:v>
                </c:pt>
                <c:pt idx="102">
                  <c:v>13.2</c:v>
                </c:pt>
                <c:pt idx="103">
                  <c:v>13.2</c:v>
                </c:pt>
                <c:pt idx="104">
                  <c:v>13.2</c:v>
                </c:pt>
                <c:pt idx="105">
                  <c:v>13.3</c:v>
                </c:pt>
                <c:pt idx="106">
                  <c:v>13.4</c:v>
                </c:pt>
                <c:pt idx="107">
                  <c:v>13.4</c:v>
                </c:pt>
                <c:pt idx="108">
                  <c:v>13.4</c:v>
                </c:pt>
                <c:pt idx="109">
                  <c:v>13.6</c:v>
                </c:pt>
                <c:pt idx="110">
                  <c:v>14</c:v>
                </c:pt>
                <c:pt idx="111">
                  <c:v>14.1</c:v>
                </c:pt>
                <c:pt idx="112">
                  <c:v>14.2</c:v>
                </c:pt>
                <c:pt idx="113">
                  <c:v>14.4</c:v>
                </c:pt>
                <c:pt idx="114">
                  <c:v>14.5</c:v>
                </c:pt>
                <c:pt idx="115">
                  <c:v>14.6</c:v>
                </c:pt>
                <c:pt idx="116">
                  <c:v>14.6</c:v>
                </c:pt>
                <c:pt idx="117">
                  <c:v>14.7</c:v>
                </c:pt>
                <c:pt idx="118">
                  <c:v>14.7</c:v>
                </c:pt>
                <c:pt idx="119">
                  <c:v>14.8</c:v>
                </c:pt>
                <c:pt idx="120">
                  <c:v>14.8</c:v>
                </c:pt>
                <c:pt idx="121">
                  <c:v>14.9</c:v>
                </c:pt>
                <c:pt idx="122">
                  <c:v>14.9</c:v>
                </c:pt>
                <c:pt idx="123">
                  <c:v>15</c:v>
                </c:pt>
                <c:pt idx="124">
                  <c:v>15</c:v>
                </c:pt>
                <c:pt idx="125">
                  <c:v>15.2</c:v>
                </c:pt>
                <c:pt idx="126">
                  <c:v>15.2</c:v>
                </c:pt>
                <c:pt idx="127">
                  <c:v>15.3</c:v>
                </c:pt>
                <c:pt idx="128">
                  <c:v>15.5</c:v>
                </c:pt>
                <c:pt idx="129">
                  <c:v>15.5</c:v>
                </c:pt>
                <c:pt idx="130">
                  <c:v>15.5</c:v>
                </c:pt>
                <c:pt idx="131">
                  <c:v>15.6</c:v>
                </c:pt>
                <c:pt idx="132">
                  <c:v>15.7</c:v>
                </c:pt>
                <c:pt idx="133">
                  <c:v>15.9</c:v>
                </c:pt>
                <c:pt idx="134">
                  <c:v>15.9</c:v>
                </c:pt>
                <c:pt idx="135">
                  <c:v>15.9</c:v>
                </c:pt>
                <c:pt idx="136">
                  <c:v>15.9</c:v>
                </c:pt>
                <c:pt idx="137">
                  <c:v>16</c:v>
                </c:pt>
                <c:pt idx="138">
                  <c:v>16.100000000000001</c:v>
                </c:pt>
                <c:pt idx="139">
                  <c:v>16.600000000000001</c:v>
                </c:pt>
                <c:pt idx="140">
                  <c:v>16.600000000000001</c:v>
                </c:pt>
                <c:pt idx="141">
                  <c:v>16.7</c:v>
                </c:pt>
                <c:pt idx="142">
                  <c:v>16.899999999999999</c:v>
                </c:pt>
                <c:pt idx="143">
                  <c:v>17</c:v>
                </c:pt>
                <c:pt idx="144">
                  <c:v>17.100000000000001</c:v>
                </c:pt>
                <c:pt idx="145">
                  <c:v>17.100000000000001</c:v>
                </c:pt>
                <c:pt idx="146">
                  <c:v>17.2</c:v>
                </c:pt>
                <c:pt idx="147">
                  <c:v>17.3</c:v>
                </c:pt>
                <c:pt idx="148">
                  <c:v>17.3</c:v>
                </c:pt>
                <c:pt idx="149">
                  <c:v>17.399999999999999</c:v>
                </c:pt>
                <c:pt idx="150">
                  <c:v>17.399999999999999</c:v>
                </c:pt>
                <c:pt idx="151">
                  <c:v>17.600000000000001</c:v>
                </c:pt>
                <c:pt idx="152">
                  <c:v>18</c:v>
                </c:pt>
                <c:pt idx="153">
                  <c:v>18</c:v>
                </c:pt>
                <c:pt idx="154">
                  <c:v>18</c:v>
                </c:pt>
                <c:pt idx="155">
                  <c:v>18.3</c:v>
                </c:pt>
                <c:pt idx="156">
                  <c:v>18.399999999999999</c:v>
                </c:pt>
                <c:pt idx="157">
                  <c:v>18.5</c:v>
                </c:pt>
                <c:pt idx="158">
                  <c:v>18.899999999999999</c:v>
                </c:pt>
                <c:pt idx="159">
                  <c:v>18.899999999999999</c:v>
                </c:pt>
                <c:pt idx="160">
                  <c:v>19</c:v>
                </c:pt>
                <c:pt idx="161">
                  <c:v>19</c:v>
                </c:pt>
                <c:pt idx="162">
                  <c:v>19.2</c:v>
                </c:pt>
                <c:pt idx="163">
                  <c:v>19.2</c:v>
                </c:pt>
                <c:pt idx="164">
                  <c:v>19.399999999999999</c:v>
                </c:pt>
                <c:pt idx="165">
                  <c:v>19.600000000000001</c:v>
                </c:pt>
                <c:pt idx="166">
                  <c:v>19.600000000000001</c:v>
                </c:pt>
                <c:pt idx="167">
                  <c:v>19.7</c:v>
                </c:pt>
                <c:pt idx="168">
                  <c:v>19.8</c:v>
                </c:pt>
                <c:pt idx="169">
                  <c:v>20.100000000000001</c:v>
                </c:pt>
                <c:pt idx="170">
                  <c:v>20.2</c:v>
                </c:pt>
                <c:pt idx="171">
                  <c:v>20.2</c:v>
                </c:pt>
                <c:pt idx="172">
                  <c:v>20.7</c:v>
                </c:pt>
                <c:pt idx="173">
                  <c:v>20.7</c:v>
                </c:pt>
                <c:pt idx="174">
                  <c:v>20.7</c:v>
                </c:pt>
                <c:pt idx="175">
                  <c:v>20.8</c:v>
                </c:pt>
                <c:pt idx="176">
                  <c:v>21.2</c:v>
                </c:pt>
                <c:pt idx="177">
                  <c:v>21.4</c:v>
                </c:pt>
                <c:pt idx="178">
                  <c:v>21.5</c:v>
                </c:pt>
                <c:pt idx="179">
                  <c:v>21.7</c:v>
                </c:pt>
                <c:pt idx="180">
                  <c:v>21.8</c:v>
                </c:pt>
                <c:pt idx="181">
                  <c:v>22.1</c:v>
                </c:pt>
                <c:pt idx="182">
                  <c:v>22.2</c:v>
                </c:pt>
                <c:pt idx="183">
                  <c:v>22.3</c:v>
                </c:pt>
                <c:pt idx="184">
                  <c:v>22.4</c:v>
                </c:pt>
                <c:pt idx="185">
                  <c:v>22.6</c:v>
                </c:pt>
                <c:pt idx="186">
                  <c:v>22.6</c:v>
                </c:pt>
                <c:pt idx="187">
                  <c:v>23.2</c:v>
                </c:pt>
                <c:pt idx="188">
                  <c:v>23.7</c:v>
                </c:pt>
                <c:pt idx="189">
                  <c:v>23.8</c:v>
                </c:pt>
                <c:pt idx="190">
                  <c:v>23.8</c:v>
                </c:pt>
                <c:pt idx="191">
                  <c:v>24.2</c:v>
                </c:pt>
                <c:pt idx="192">
                  <c:v>24.4</c:v>
                </c:pt>
                <c:pt idx="193">
                  <c:v>24.7</c:v>
                </c:pt>
                <c:pt idx="194">
                  <c:v>25.4</c:v>
                </c:pt>
                <c:pt idx="195">
                  <c:v>25.4</c:v>
                </c:pt>
                <c:pt idx="196">
                  <c:v>25.4</c:v>
                </c:pt>
                <c:pt idx="197">
                  <c:v>25.5</c:v>
                </c:pt>
                <c:pt idx="198">
                  <c:v>26.2</c:v>
                </c:pt>
                <c:pt idx="199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92-4E27-9649-59496D702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203680"/>
        <c:axId val="1562388944"/>
      </c:scatterChart>
      <c:valAx>
        <c:axId val="89820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2388944"/>
        <c:crosses val="autoZero"/>
        <c:crossBetween val="midCat"/>
      </c:valAx>
      <c:valAx>
        <c:axId val="1562388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82036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advertising!$P$1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advertising!$O$2:$O$201</c:f>
              <c:numCache>
                <c:formatCode>General</c:formatCode>
                <c:ptCount val="200"/>
                <c:pt idx="0">
                  <c:v>4.3459365493263803E-3</c:v>
                </c:pt>
                <c:pt idx="1">
                  <c:v>2.247191011235955E-2</c:v>
                </c:pt>
                <c:pt idx="2">
                  <c:v>5.8139534883720929E-2</c:v>
                </c:pt>
                <c:pt idx="3">
                  <c:v>6.6006600660066007E-3</c:v>
                </c:pt>
                <c:pt idx="4">
                  <c:v>5.5309734513274336E-3</c:v>
                </c:pt>
                <c:pt idx="5">
                  <c:v>0.1149425287356322</c:v>
                </c:pt>
                <c:pt idx="6">
                  <c:v>1.7391304347826087E-2</c:v>
                </c:pt>
                <c:pt idx="7">
                  <c:v>8.3194675540765387E-3</c:v>
                </c:pt>
                <c:pt idx="8">
                  <c:v>0.11627906976744186</c:v>
                </c:pt>
                <c:pt idx="9">
                  <c:v>5.005005005005005E-3</c:v>
                </c:pt>
                <c:pt idx="10">
                  <c:v>1.5128593040847203E-2</c:v>
                </c:pt>
                <c:pt idx="11">
                  <c:v>4.657661853749418E-3</c:v>
                </c:pt>
                <c:pt idx="12">
                  <c:v>4.2016806722689072E-2</c:v>
                </c:pt>
                <c:pt idx="13">
                  <c:v>1.0256410256410256E-2</c:v>
                </c:pt>
                <c:pt idx="14">
                  <c:v>4.8995590396864281E-3</c:v>
                </c:pt>
                <c:pt idx="15">
                  <c:v>5.1177072671443188E-3</c:v>
                </c:pt>
                <c:pt idx="16">
                  <c:v>1.4749262536873156E-2</c:v>
                </c:pt>
                <c:pt idx="17">
                  <c:v>3.5536602700781809E-3</c:v>
                </c:pt>
                <c:pt idx="18">
                  <c:v>1.4450867052023121E-2</c:v>
                </c:pt>
                <c:pt idx="19">
                  <c:v>6.7888662593346902E-3</c:v>
                </c:pt>
                <c:pt idx="20">
                  <c:v>4.578754578754579E-3</c:v>
                </c:pt>
                <c:pt idx="21">
                  <c:v>4.2122999157540014E-3</c:v>
                </c:pt>
                <c:pt idx="22">
                  <c:v>7.575757575757576E-2</c:v>
                </c:pt>
                <c:pt idx="23">
                  <c:v>4.3802014892685062E-3</c:v>
                </c:pt>
                <c:pt idx="24">
                  <c:v>1.605136436597111E-2</c:v>
                </c:pt>
                <c:pt idx="25">
                  <c:v>3.8037276531000383E-3</c:v>
                </c:pt>
                <c:pt idx="26">
                  <c:v>6.9979006298110562E-3</c:v>
                </c:pt>
                <c:pt idx="27">
                  <c:v>4.1649312786339026E-3</c:v>
                </c:pt>
                <c:pt idx="28">
                  <c:v>4.0192926045016075E-3</c:v>
                </c:pt>
                <c:pt idx="29">
                  <c:v>1.4164305949008501E-2</c:v>
                </c:pt>
                <c:pt idx="30">
                  <c:v>3.4141345168999661E-3</c:v>
                </c:pt>
                <c:pt idx="31">
                  <c:v>8.8573959255978732E-3</c:v>
                </c:pt>
                <c:pt idx="32">
                  <c:v>1.0288065843621399E-2</c:v>
                </c:pt>
                <c:pt idx="33">
                  <c:v>3.765060240963855E-3</c:v>
                </c:pt>
                <c:pt idx="34">
                  <c:v>1.0449320794148381E-2</c:v>
                </c:pt>
                <c:pt idx="35">
                  <c:v>3.4399724802201583E-3</c:v>
                </c:pt>
                <c:pt idx="36">
                  <c:v>3.7467216185837395E-3</c:v>
                </c:pt>
                <c:pt idx="37">
                  <c:v>1.3386880856760375E-2</c:v>
                </c:pt>
                <c:pt idx="38">
                  <c:v>2.3201856148491878E-2</c:v>
                </c:pt>
                <c:pt idx="39">
                  <c:v>4.3859649122807015E-3</c:v>
                </c:pt>
                <c:pt idx="40">
                  <c:v>4.9382716049382715E-3</c:v>
                </c:pt>
                <c:pt idx="41">
                  <c:v>5.6497175141242938E-3</c:v>
                </c:pt>
                <c:pt idx="42">
                  <c:v>3.4059945504087189E-3</c:v>
                </c:pt>
                <c:pt idx="43">
                  <c:v>4.8332527791203478E-3</c:v>
                </c:pt>
                <c:pt idx="44">
                  <c:v>3.9840637450199202E-2</c:v>
                </c:pt>
                <c:pt idx="45">
                  <c:v>5.7110222729868645E-3</c:v>
                </c:pt>
                <c:pt idx="46">
                  <c:v>1.1148272017837234E-2</c:v>
                </c:pt>
                <c:pt idx="47">
                  <c:v>4.1684035014589414E-3</c:v>
                </c:pt>
                <c:pt idx="48">
                  <c:v>4.4014084507042256E-3</c:v>
                </c:pt>
                <c:pt idx="49">
                  <c:v>1.4947683109118086E-2</c:v>
                </c:pt>
                <c:pt idx="50">
                  <c:v>5.005005005005005E-3</c:v>
                </c:pt>
                <c:pt idx="51">
                  <c:v>9.9601593625498006E-3</c:v>
                </c:pt>
                <c:pt idx="52">
                  <c:v>4.6210720887245836E-3</c:v>
                </c:pt>
                <c:pt idx="53">
                  <c:v>5.4764512595837896E-3</c:v>
                </c:pt>
                <c:pt idx="54">
                  <c:v>3.8066235249333844E-3</c:v>
                </c:pt>
                <c:pt idx="55">
                  <c:v>5.0276520864756154E-3</c:v>
                </c:pt>
                <c:pt idx="56">
                  <c:v>0.13698630136986301</c:v>
                </c:pt>
                <c:pt idx="57">
                  <c:v>7.3421439060205587E-3</c:v>
                </c:pt>
                <c:pt idx="58">
                  <c:v>4.7438330170777986E-3</c:v>
                </c:pt>
                <c:pt idx="59">
                  <c:v>4.7460844803037493E-3</c:v>
                </c:pt>
                <c:pt idx="60">
                  <c:v>1.8691588785046728E-2</c:v>
                </c:pt>
                <c:pt idx="61">
                  <c:v>3.8270187523918864E-3</c:v>
                </c:pt>
                <c:pt idx="62">
                  <c:v>4.1788549937317176E-3</c:v>
                </c:pt>
                <c:pt idx="63">
                  <c:v>9.7370983446932804E-3</c:v>
                </c:pt>
                <c:pt idx="64">
                  <c:v>7.6277650648360036E-3</c:v>
                </c:pt>
                <c:pt idx="65">
                  <c:v>1.4492753623188406E-2</c:v>
                </c:pt>
                <c:pt idx="66">
                  <c:v>3.1746031746031744E-2</c:v>
                </c:pt>
                <c:pt idx="67">
                  <c:v>7.1787508973438618E-3</c:v>
                </c:pt>
                <c:pt idx="68">
                  <c:v>4.2122999157540014E-3</c:v>
                </c:pt>
                <c:pt idx="69">
                  <c:v>4.6125461254612546E-3</c:v>
                </c:pt>
                <c:pt idx="70">
                  <c:v>5.0226017076845809E-3</c:v>
                </c:pt>
                <c:pt idx="71">
                  <c:v>9.1074681238615673E-3</c:v>
                </c:pt>
                <c:pt idx="72">
                  <c:v>3.7313432835820892E-2</c:v>
                </c:pt>
                <c:pt idx="73">
                  <c:v>7.7279752704791345E-3</c:v>
                </c:pt>
                <c:pt idx="74">
                  <c:v>4.6860356138706651E-3</c:v>
                </c:pt>
                <c:pt idx="75">
                  <c:v>5.9171597633136098E-2</c:v>
                </c:pt>
                <c:pt idx="76">
                  <c:v>3.6363636363636362E-2</c:v>
                </c:pt>
                <c:pt idx="77">
                  <c:v>8.2987551867219917E-3</c:v>
                </c:pt>
                <c:pt idx="78">
                  <c:v>0.18518518518518517</c:v>
                </c:pt>
                <c:pt idx="79">
                  <c:v>8.6206896551724137E-3</c:v>
                </c:pt>
                <c:pt idx="80">
                  <c:v>1.3089005235602092E-2</c:v>
                </c:pt>
                <c:pt idx="81">
                  <c:v>4.1701417848206837E-3</c:v>
                </c:pt>
                <c:pt idx="82">
                  <c:v>1.3280212483399735E-2</c:v>
                </c:pt>
                <c:pt idx="83">
                  <c:v>1.4619883040935672E-2</c:v>
                </c:pt>
                <c:pt idx="84">
                  <c:v>4.6838407494145199E-3</c:v>
                </c:pt>
                <c:pt idx="85">
                  <c:v>5.175983436853002E-3</c:v>
                </c:pt>
                <c:pt idx="86">
                  <c:v>1.3106159895150722E-2</c:v>
                </c:pt>
                <c:pt idx="87">
                  <c:v>9.0334236675700084E-3</c:v>
                </c:pt>
                <c:pt idx="88">
                  <c:v>1.1325028312570783E-2</c:v>
                </c:pt>
                <c:pt idx="89">
                  <c:v>9.1074681238615673E-3</c:v>
                </c:pt>
                <c:pt idx="90">
                  <c:v>7.4460163812360381E-3</c:v>
                </c:pt>
                <c:pt idx="91">
                  <c:v>3.4965034965034961E-2</c:v>
                </c:pt>
                <c:pt idx="92">
                  <c:v>4.5934772622875522E-3</c:v>
                </c:pt>
                <c:pt idx="93">
                  <c:v>3.9856516540454365E-3</c:v>
                </c:pt>
                <c:pt idx="94">
                  <c:v>9.3109869646182484E-3</c:v>
                </c:pt>
                <c:pt idx="95">
                  <c:v>6.1236987140232697E-3</c:v>
                </c:pt>
                <c:pt idx="96">
                  <c:v>5.0607287449392713E-3</c:v>
                </c:pt>
                <c:pt idx="97">
                  <c:v>5.4083288263926449E-3</c:v>
                </c:pt>
                <c:pt idx="98">
                  <c:v>3.4518467380048328E-3</c:v>
                </c:pt>
                <c:pt idx="99">
                  <c:v>7.3964497041420123E-3</c:v>
                </c:pt>
                <c:pt idx="100">
                  <c:v>4.4964028776978415E-3</c:v>
                </c:pt>
                <c:pt idx="101">
                  <c:v>3.3738191632928477E-3</c:v>
                </c:pt>
                <c:pt idx="102">
                  <c:v>3.5688793718772309E-3</c:v>
                </c:pt>
                <c:pt idx="103">
                  <c:v>5.3219797764768491E-3</c:v>
                </c:pt>
                <c:pt idx="104">
                  <c:v>4.1981528127623844E-3</c:v>
                </c:pt>
                <c:pt idx="105">
                  <c:v>7.2516316171138502E-3</c:v>
                </c:pt>
                <c:pt idx="106">
                  <c:v>0.04</c:v>
                </c:pt>
                <c:pt idx="107">
                  <c:v>1.1061946902654867E-2</c:v>
                </c:pt>
                <c:pt idx="108">
                  <c:v>7.6335877862595422E-2</c:v>
                </c:pt>
                <c:pt idx="109">
                  <c:v>3.9154267815191858E-3</c:v>
                </c:pt>
                <c:pt idx="110">
                  <c:v>4.4286979627989366E-3</c:v>
                </c:pt>
                <c:pt idx="111">
                  <c:v>4.1373603640877119E-3</c:v>
                </c:pt>
                <c:pt idx="112">
                  <c:v>5.691519635742744E-3</c:v>
                </c:pt>
                <c:pt idx="113">
                  <c:v>4.7709923664122139E-3</c:v>
                </c:pt>
                <c:pt idx="114">
                  <c:v>1.278772378516624E-2</c:v>
                </c:pt>
                <c:pt idx="115">
                  <c:v>1.3315579227696406E-2</c:v>
                </c:pt>
                <c:pt idx="116">
                  <c:v>7.1839080459770123E-3</c:v>
                </c:pt>
                <c:pt idx="117">
                  <c:v>1.3089005235602092E-2</c:v>
                </c:pt>
                <c:pt idx="118">
                  <c:v>7.955449482895784E-3</c:v>
                </c:pt>
                <c:pt idx="119">
                  <c:v>5.1546391752577324E-2</c:v>
                </c:pt>
                <c:pt idx="120">
                  <c:v>7.0771408351026181E-3</c:v>
                </c:pt>
                <c:pt idx="121">
                  <c:v>5.3191489361702128E-2</c:v>
                </c:pt>
                <c:pt idx="122">
                  <c:v>4.464285714285714E-3</c:v>
                </c:pt>
                <c:pt idx="123">
                  <c:v>8.1234768480909839E-3</c:v>
                </c:pt>
                <c:pt idx="124">
                  <c:v>4.3572984749455342E-3</c:v>
                </c:pt>
                <c:pt idx="125">
                  <c:v>1.146788990825688E-2</c:v>
                </c:pt>
                <c:pt idx="126">
                  <c:v>0.12820512820512822</c:v>
                </c:pt>
                <c:pt idx="127">
                  <c:v>1.2468827930174562E-2</c:v>
                </c:pt>
                <c:pt idx="128">
                  <c:v>4.5392646391284605E-3</c:v>
                </c:pt>
                <c:pt idx="129">
                  <c:v>1.6778523489932886E-2</c:v>
                </c:pt>
                <c:pt idx="130">
                  <c:v>1.4285714285714286</c:v>
                </c:pt>
                <c:pt idx="131">
                  <c:v>3.770739064856712E-3</c:v>
                </c:pt>
                <c:pt idx="132">
                  <c:v>0.11904761904761904</c:v>
                </c:pt>
                <c:pt idx="133">
                  <c:v>4.549590536851683E-3</c:v>
                </c:pt>
                <c:pt idx="134">
                  <c:v>2.7100271002710029E-2</c:v>
                </c:pt>
                <c:pt idx="135">
                  <c:v>2.0703933747412008E-2</c:v>
                </c:pt>
                <c:pt idx="136">
                  <c:v>3.90625E-2</c:v>
                </c:pt>
                <c:pt idx="137">
                  <c:v>3.6536353671903546E-3</c:v>
                </c:pt>
                <c:pt idx="138">
                  <c:v>2.3255813953488372E-2</c:v>
                </c:pt>
                <c:pt idx="139">
                  <c:v>5.4083288263926449E-3</c:v>
                </c:pt>
                <c:pt idx="140">
                  <c:v>1.3623978201634876E-2</c:v>
                </c:pt>
                <c:pt idx="141">
                  <c:v>5.1626226122870418E-3</c:v>
                </c:pt>
                <c:pt idx="142">
                  <c:v>4.5351473922902496E-3</c:v>
                </c:pt>
                <c:pt idx="143">
                  <c:v>9.5602294455066923E-3</c:v>
                </c:pt>
                <c:pt idx="144">
                  <c:v>1.0395010395010394E-2</c:v>
                </c:pt>
                <c:pt idx="145">
                  <c:v>7.1275837491090515E-3</c:v>
                </c:pt>
                <c:pt idx="146">
                  <c:v>4.1649312786339026E-3</c:v>
                </c:pt>
                <c:pt idx="147">
                  <c:v>4.1118421052631577E-3</c:v>
                </c:pt>
                <c:pt idx="148">
                  <c:v>2.6315789473684209E-2</c:v>
                </c:pt>
                <c:pt idx="149">
                  <c:v>2.2371364653243846E-2</c:v>
                </c:pt>
                <c:pt idx="150">
                  <c:v>3.5625222657641614E-3</c:v>
                </c:pt>
                <c:pt idx="151">
                  <c:v>8.2644628099173556E-3</c:v>
                </c:pt>
                <c:pt idx="152">
                  <c:v>5.0607287449392713E-3</c:v>
                </c:pt>
                <c:pt idx="153">
                  <c:v>5.837711617046118E-3</c:v>
                </c:pt>
                <c:pt idx="154">
                  <c:v>5.3248136315228968E-3</c:v>
                </c:pt>
                <c:pt idx="155">
                  <c:v>0.24390243902439027</c:v>
                </c:pt>
                <c:pt idx="156">
                  <c:v>1.0649627263045794E-2</c:v>
                </c:pt>
                <c:pt idx="157">
                  <c:v>6.675567423230974E-3</c:v>
                </c:pt>
                <c:pt idx="158">
                  <c:v>8.5470085470085472E-2</c:v>
                </c:pt>
                <c:pt idx="159">
                  <c:v>7.5930144267274116E-3</c:v>
                </c:pt>
                <c:pt idx="160">
                  <c:v>5.7971014492753624E-3</c:v>
                </c:pt>
                <c:pt idx="161">
                  <c:v>1.1668611435239206E-2</c:v>
                </c:pt>
                <c:pt idx="162">
                  <c:v>5.3078556263269636E-3</c:v>
                </c:pt>
                <c:pt idx="163">
                  <c:v>6.1162079510703364E-3</c:v>
                </c:pt>
                <c:pt idx="164">
                  <c:v>8.5324232081911266E-3</c:v>
                </c:pt>
                <c:pt idx="165">
                  <c:v>4.2643923240938165E-3</c:v>
                </c:pt>
                <c:pt idx="166">
                  <c:v>5.5865921787709501E-2</c:v>
                </c:pt>
                <c:pt idx="167">
                  <c:v>4.8355899419729202E-3</c:v>
                </c:pt>
                <c:pt idx="168">
                  <c:v>4.642525533890436E-3</c:v>
                </c:pt>
                <c:pt idx="169">
                  <c:v>3.5174111853675692E-3</c:v>
                </c:pt>
                <c:pt idx="170">
                  <c:v>0.02</c:v>
                </c:pt>
                <c:pt idx="171">
                  <c:v>6.0790273556231003E-3</c:v>
                </c:pt>
                <c:pt idx="172">
                  <c:v>5.10204081632653E-2</c:v>
                </c:pt>
                <c:pt idx="173">
                  <c:v>5.9382422802850355E-3</c:v>
                </c:pt>
                <c:pt idx="174">
                  <c:v>4.4964028776978415E-3</c:v>
                </c:pt>
                <c:pt idx="175">
                  <c:v>3.6114120621162879E-3</c:v>
                </c:pt>
                <c:pt idx="176">
                  <c:v>4.0257648953301124E-3</c:v>
                </c:pt>
                <c:pt idx="177">
                  <c:v>5.8754406580493537E-3</c:v>
                </c:pt>
                <c:pt idx="178">
                  <c:v>3.6140224069389233E-3</c:v>
                </c:pt>
                <c:pt idx="179">
                  <c:v>6.038647342995169E-3</c:v>
                </c:pt>
                <c:pt idx="180">
                  <c:v>6.3856960408684551E-3</c:v>
                </c:pt>
                <c:pt idx="181">
                  <c:v>4.5766590389016018E-3</c:v>
                </c:pt>
                <c:pt idx="182">
                  <c:v>1.779359430604982E-2</c:v>
                </c:pt>
                <c:pt idx="183">
                  <c:v>3.4770514603616131E-3</c:v>
                </c:pt>
                <c:pt idx="184">
                  <c:v>3.9401103230890461E-3</c:v>
                </c:pt>
                <c:pt idx="185">
                  <c:v>4.8780487804878049E-3</c:v>
                </c:pt>
                <c:pt idx="186">
                  <c:v>7.1684587813620072E-3</c:v>
                </c:pt>
                <c:pt idx="187">
                  <c:v>5.2328623757195184E-3</c:v>
                </c:pt>
                <c:pt idx="188">
                  <c:v>3.4965034965034965E-3</c:v>
                </c:pt>
                <c:pt idx="189">
                  <c:v>5.3475935828877004E-2</c:v>
                </c:pt>
                <c:pt idx="190">
                  <c:v>2.5316455696202531E-2</c:v>
                </c:pt>
                <c:pt idx="191">
                  <c:v>1.3245033112582781E-2</c:v>
                </c:pt>
                <c:pt idx="192">
                  <c:v>5.8139534883720929E-2</c:v>
                </c:pt>
                <c:pt idx="193">
                  <c:v>5.9952038369304557E-3</c:v>
                </c:pt>
                <c:pt idx="194">
                  <c:v>6.6800267201068807E-3</c:v>
                </c:pt>
                <c:pt idx="195">
                  <c:v>2.6178010471204185E-2</c:v>
                </c:pt>
                <c:pt idx="196">
                  <c:v>1.0615711252653927E-2</c:v>
                </c:pt>
                <c:pt idx="197">
                  <c:v>5.6497175141242938E-3</c:v>
                </c:pt>
                <c:pt idx="198">
                  <c:v>3.5260930888575456E-3</c:v>
                </c:pt>
                <c:pt idx="199">
                  <c:v>4.3084877208099956E-3</c:v>
                </c:pt>
              </c:numCache>
            </c:numRef>
          </c:xVal>
          <c:yVal>
            <c:numRef>
              <c:f>advertising!$P$2:$P$201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29-458A-A688-87EFE352D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816368"/>
        <c:axId val="1562371056"/>
      </c:scatterChart>
      <c:valAx>
        <c:axId val="149281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371056"/>
        <c:crosses val="autoZero"/>
        <c:crossBetween val="midCat"/>
      </c:valAx>
      <c:valAx>
        <c:axId val="156237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advertising!$R$1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advertising!$Q$2:$Q$201</c:f>
              <c:numCache>
                <c:formatCode>General</c:formatCode>
                <c:ptCount val="200"/>
                <c:pt idx="0">
                  <c:v>5.4385139970413201</c:v>
                </c:pt>
                <c:pt idx="1">
                  <c:v>3.7954891891721947</c:v>
                </c:pt>
                <c:pt idx="2">
                  <c:v>2.8449093838194073</c:v>
                </c:pt>
                <c:pt idx="3">
                  <c:v>5.0205856249494234</c:v>
                </c:pt>
                <c:pt idx="4">
                  <c:v>5.1973914479580765</c:v>
                </c:pt>
                <c:pt idx="5">
                  <c:v>2.1633230256605378</c:v>
                </c:pt>
                <c:pt idx="6">
                  <c:v>4.0517849478033048</c:v>
                </c:pt>
                <c:pt idx="7">
                  <c:v>4.7891570221011071</c:v>
                </c:pt>
                <c:pt idx="8">
                  <c:v>2.1517622032594619</c:v>
                </c:pt>
                <c:pt idx="9">
                  <c:v>5.2973168662144534</c:v>
                </c:pt>
                <c:pt idx="10">
                  <c:v>4.1911687468576408</c:v>
                </c:pt>
                <c:pt idx="11">
                  <c:v>5.3692417048847352</c:v>
                </c:pt>
                <c:pt idx="12">
                  <c:v>3.1696855806774291</c:v>
                </c:pt>
                <c:pt idx="13">
                  <c:v>4.5798523780038014</c:v>
                </c:pt>
                <c:pt idx="14">
                  <c:v>5.318610069815799</c:v>
                </c:pt>
                <c:pt idx="15">
                  <c:v>5.2750487396086827</c:v>
                </c:pt>
                <c:pt idx="16">
                  <c:v>4.2165621949463494</c:v>
                </c:pt>
                <c:pt idx="17">
                  <c:v>5.6397771446802887</c:v>
                </c:pt>
                <c:pt idx="18">
                  <c:v>4.2370008626236242</c:v>
                </c:pt>
                <c:pt idx="19">
                  <c:v>4.9924713234685845</c:v>
                </c:pt>
                <c:pt idx="20">
                  <c:v>5.38632824387075</c:v>
                </c:pt>
                <c:pt idx="21">
                  <c:v>5.4697464821755677</c:v>
                </c:pt>
                <c:pt idx="22">
                  <c:v>2.5802168295923251</c:v>
                </c:pt>
                <c:pt idx="23">
                  <c:v>5.4306605535357502</c:v>
                </c:pt>
                <c:pt idx="24">
                  <c:v>4.1319614257934072</c:v>
                </c:pt>
                <c:pt idx="25">
                  <c:v>5.5717737317358358</c:v>
                </c:pt>
                <c:pt idx="26">
                  <c:v>4.9621450849358215</c:v>
                </c:pt>
                <c:pt idx="27">
                  <c:v>5.4810555032272079</c:v>
                </c:pt>
                <c:pt idx="28">
                  <c:v>5.5166493608650242</c:v>
                </c:pt>
                <c:pt idx="29">
                  <c:v>4.257030144499196</c:v>
                </c:pt>
                <c:pt idx="30">
                  <c:v>5.6798312538336875</c:v>
                </c:pt>
                <c:pt idx="31">
                  <c:v>4.7265024711556167</c:v>
                </c:pt>
                <c:pt idx="32">
                  <c:v>4.5767707114663931</c:v>
                </c:pt>
                <c:pt idx="33">
                  <c:v>5.5819914176022785</c:v>
                </c:pt>
                <c:pt idx="34">
                  <c:v>4.5612182984589085</c:v>
                </c:pt>
                <c:pt idx="35">
                  <c:v>5.6722918075648305</c:v>
                </c:pt>
                <c:pt idx="36">
                  <c:v>5.586874056410478</c:v>
                </c:pt>
                <c:pt idx="37">
                  <c:v>4.3134800921387715</c:v>
                </c:pt>
                <c:pt idx="38">
                  <c:v>3.763522997109702</c:v>
                </c:pt>
                <c:pt idx="39">
                  <c:v>5.4293456289544411</c:v>
                </c:pt>
                <c:pt idx="40">
                  <c:v>5.3107398865465942</c:v>
                </c:pt>
                <c:pt idx="41">
                  <c:v>5.1761497325738288</c:v>
                </c:pt>
                <c:pt idx="42">
                  <c:v>5.6822182967403609</c:v>
                </c:pt>
                <c:pt idx="43">
                  <c:v>5.3322355847514977</c:v>
                </c:pt>
                <c:pt idx="44">
                  <c:v>3.2228678461377385</c:v>
                </c:pt>
                <c:pt idx="45">
                  <c:v>5.1653572392918061</c:v>
                </c:pt>
                <c:pt idx="46">
                  <c:v>4.4964707690647501</c:v>
                </c:pt>
                <c:pt idx="47">
                  <c:v>5.480222169845649</c:v>
                </c:pt>
                <c:pt idx="48">
                  <c:v>5.4258306868469965</c:v>
                </c:pt>
                <c:pt idx="49">
                  <c:v>4.203198967134183</c:v>
                </c:pt>
                <c:pt idx="50">
                  <c:v>5.2973168662144534</c:v>
                </c:pt>
                <c:pt idx="51">
                  <c:v>4.6091622072576293</c:v>
                </c:pt>
                <c:pt idx="52">
                  <c:v>5.3771285469723269</c:v>
                </c:pt>
                <c:pt idx="53">
                  <c:v>5.2072979681608684</c:v>
                </c:pt>
                <c:pt idx="54">
                  <c:v>5.5710126966914943</c:v>
                </c:pt>
                <c:pt idx="55">
                  <c:v>5.2928021858599266</c:v>
                </c:pt>
                <c:pt idx="56">
                  <c:v>1.9878743481543455</c:v>
                </c:pt>
                <c:pt idx="57">
                  <c:v>4.9141243937154115</c:v>
                </c:pt>
                <c:pt idx="58">
                  <c:v>5.3509098166672073</c:v>
                </c:pt>
                <c:pt idx="59">
                  <c:v>5.3504353208101429</c:v>
                </c:pt>
                <c:pt idx="60">
                  <c:v>3.9796816539019608</c:v>
                </c:pt>
                <c:pt idx="61">
                  <c:v>5.565669172526567</c:v>
                </c:pt>
                <c:pt idx="62">
                  <c:v>5.477717994914328</c:v>
                </c:pt>
                <c:pt idx="63">
                  <c:v>4.6318121169345128</c:v>
                </c:pt>
                <c:pt idx="64">
                  <c:v>4.875960390769654</c:v>
                </c:pt>
                <c:pt idx="65">
                  <c:v>4.2341065045972597</c:v>
                </c:pt>
                <c:pt idx="66">
                  <c:v>3.4499875458315872</c:v>
                </c:pt>
                <c:pt idx="67">
                  <c:v>4.9366298807857598</c:v>
                </c:pt>
                <c:pt idx="68">
                  <c:v>5.4697464821755677</c:v>
                </c:pt>
                <c:pt idx="69">
                  <c:v>5.3789752695654913</c:v>
                </c:pt>
                <c:pt idx="70">
                  <c:v>5.2938072110701508</c:v>
                </c:pt>
                <c:pt idx="71">
                  <c:v>4.69866052907543</c:v>
                </c:pt>
                <c:pt idx="72">
                  <c:v>3.2884018875168111</c:v>
                </c:pt>
                <c:pt idx="73">
                  <c:v>4.8629083820668004</c:v>
                </c:pt>
                <c:pt idx="74">
                  <c:v>5.363168338867653</c:v>
                </c:pt>
                <c:pt idx="75">
                  <c:v>2.8273136219290276</c:v>
                </c:pt>
                <c:pt idx="76">
                  <c:v>3.3141860046725258</c:v>
                </c:pt>
                <c:pt idx="77">
                  <c:v>4.7916497529307094</c:v>
                </c:pt>
                <c:pt idx="78">
                  <c:v>1.6863989535702288</c:v>
                </c:pt>
                <c:pt idx="79">
                  <c:v>4.7535901911063645</c:v>
                </c:pt>
                <c:pt idx="80">
                  <c:v>4.3359826961724748</c:v>
                </c:pt>
                <c:pt idx="81">
                  <c:v>5.4798052425934136</c:v>
                </c:pt>
                <c:pt idx="82">
                  <c:v>4.3214801348058476</c:v>
                </c:pt>
                <c:pt idx="83">
                  <c:v>4.2253728246285052</c:v>
                </c:pt>
                <c:pt idx="84">
                  <c:v>5.3636368326686794</c:v>
                </c:pt>
                <c:pt idx="85">
                  <c:v>5.2637259217784171</c:v>
                </c:pt>
                <c:pt idx="86">
                  <c:v>4.334672938290411</c:v>
                </c:pt>
                <c:pt idx="87">
                  <c:v>4.7068238397145912</c:v>
                </c:pt>
                <c:pt idx="88">
                  <c:v>4.4807401076099147</c:v>
                </c:pt>
                <c:pt idx="89">
                  <c:v>4.69866052907543</c:v>
                </c:pt>
                <c:pt idx="90">
                  <c:v>4.9000761035291918</c:v>
                </c:pt>
                <c:pt idx="91">
                  <c:v>3.3534067178258069</c:v>
                </c:pt>
                <c:pt idx="92">
                  <c:v>5.3831179682405015</c:v>
                </c:pt>
                <c:pt idx="93">
                  <c:v>5.5250544533723769</c:v>
                </c:pt>
                <c:pt idx="94">
                  <c:v>4.6765601820747644</c:v>
                </c:pt>
                <c:pt idx="95">
                  <c:v>5.0955889999764192</c:v>
                </c:pt>
                <c:pt idx="96">
                  <c:v>5.2862447853137677</c:v>
                </c:pt>
                <c:pt idx="97">
                  <c:v>5.2198151383930789</c:v>
                </c:pt>
                <c:pt idx="98">
                  <c:v>5.6688459047753046</c:v>
                </c:pt>
                <c:pt idx="99">
                  <c:v>4.9067551636088638</c:v>
                </c:pt>
                <c:pt idx="100">
                  <c:v>5.4044775623764272</c:v>
                </c:pt>
                <c:pt idx="101">
                  <c:v>5.6917098934219315</c:v>
                </c:pt>
                <c:pt idx="102">
                  <c:v>5.635503633902907</c:v>
                </c:pt>
                <c:pt idx="103">
                  <c:v>5.2359099064194199</c:v>
                </c:pt>
                <c:pt idx="104">
                  <c:v>5.4731106569211994</c:v>
                </c:pt>
                <c:pt idx="105">
                  <c:v>4.926528784799256</c:v>
                </c:pt>
                <c:pt idx="106">
                  <c:v>3.2188758248682006</c:v>
                </c:pt>
                <c:pt idx="107">
                  <c:v>4.5042442673981311</c:v>
                </c:pt>
                <c:pt idx="108">
                  <c:v>2.5726122302071057</c:v>
                </c:pt>
                <c:pt idx="109">
                  <c:v>5.5428309435984389</c:v>
                </c:pt>
                <c:pt idx="110">
                  <c:v>5.4196496517155621</c:v>
                </c:pt>
                <c:pt idx="111">
                  <c:v>5.4876972877094374</c:v>
                </c:pt>
                <c:pt idx="112">
                  <c:v>5.168777995193051</c:v>
                </c:pt>
                <c:pt idx="113">
                  <c:v>5.3452009524468869</c:v>
                </c:pt>
                <c:pt idx="114">
                  <c:v>4.3592696475512653</c:v>
                </c:pt>
                <c:pt idx="115">
                  <c:v>4.3188205587700894</c:v>
                </c:pt>
                <c:pt idx="116">
                  <c:v>4.9359117479003194</c:v>
                </c:pt>
                <c:pt idx="117">
                  <c:v>4.3359826961724748</c:v>
                </c:pt>
                <c:pt idx="118">
                  <c:v>4.8338981155962015</c:v>
                </c:pt>
                <c:pt idx="119">
                  <c:v>2.9652730660692823</c:v>
                </c:pt>
                <c:pt idx="120">
                  <c:v>4.9508852896904818</c:v>
                </c:pt>
                <c:pt idx="121">
                  <c:v>2.9338568698359038</c:v>
                </c:pt>
                <c:pt idx="122">
                  <c:v>5.4116460518550396</c:v>
                </c:pt>
                <c:pt idx="123">
                  <c:v>4.8129970331904079</c:v>
                </c:pt>
                <c:pt idx="124">
                  <c:v>5.4359030295005999</c:v>
                </c:pt>
                <c:pt idx="125">
                  <c:v>4.4682043309149337</c:v>
                </c:pt>
                <c:pt idx="126">
                  <c:v>2.0541237336955462</c:v>
                </c:pt>
                <c:pt idx="127">
                  <c:v>4.3845235148724688</c:v>
                </c:pt>
                <c:pt idx="128">
                  <c:v>5.3949902538082979</c:v>
                </c:pt>
                <c:pt idx="129">
                  <c:v>4.0876555740713041</c:v>
                </c:pt>
                <c:pt idx="130">
                  <c:v>-0.35667494393873245</c:v>
                </c:pt>
                <c:pt idx="131">
                  <c:v>5.5804842583117074</c:v>
                </c:pt>
                <c:pt idx="132">
                  <c:v>2.1282317058492679</c:v>
                </c:pt>
                <c:pt idx="133">
                  <c:v>5.3927180419695206</c:v>
                </c:pt>
                <c:pt idx="134">
                  <c:v>3.6082115510464816</c:v>
                </c:pt>
                <c:pt idx="135">
                  <c:v>3.8774315606585268</c:v>
                </c:pt>
                <c:pt idx="136">
                  <c:v>3.2425923514855168</c:v>
                </c:pt>
                <c:pt idx="137">
                  <c:v>5.6120326160466334</c:v>
                </c:pt>
                <c:pt idx="138">
                  <c:v>3.7612001156935624</c:v>
                </c:pt>
                <c:pt idx="139">
                  <c:v>5.2198151383930789</c:v>
                </c:pt>
                <c:pt idx="140">
                  <c:v>4.2959239356204701</c:v>
                </c:pt>
                <c:pt idx="141">
                  <c:v>5.2663105704129505</c:v>
                </c:pt>
                <c:pt idx="142">
                  <c:v>5.3958976948869006</c:v>
                </c:pt>
                <c:pt idx="143">
                  <c:v>4.6501435516308227</c:v>
                </c:pt>
                <c:pt idx="144">
                  <c:v>4.5664293576716606</c:v>
                </c:pt>
                <c:pt idx="145">
                  <c:v>4.9437829871084151</c:v>
                </c:pt>
                <c:pt idx="146">
                  <c:v>5.4810555032272079</c:v>
                </c:pt>
                <c:pt idx="147">
                  <c:v>5.4938841500920121</c:v>
                </c:pt>
                <c:pt idx="148">
                  <c:v>3.6375861597263857</c:v>
                </c:pt>
                <c:pt idx="149">
                  <c:v>3.7999735016195233</c:v>
                </c:pt>
                <c:pt idx="150">
                  <c:v>5.6372864833678369</c:v>
                </c:pt>
                <c:pt idx="151">
                  <c:v>4.7957905455967413</c:v>
                </c:pt>
                <c:pt idx="152">
                  <c:v>5.2862447853137677</c:v>
                </c:pt>
                <c:pt idx="153">
                  <c:v>5.1434164053300746</c:v>
                </c:pt>
                <c:pt idx="154">
                  <c:v>5.2353775667741624</c:v>
                </c:pt>
                <c:pt idx="155">
                  <c:v>1.410986973710262</c:v>
                </c:pt>
                <c:pt idx="156">
                  <c:v>4.542230386214217</c:v>
                </c:pt>
                <c:pt idx="157">
                  <c:v>5.0093010710831196</c:v>
                </c:pt>
                <c:pt idx="158">
                  <c:v>2.4595888418037104</c:v>
                </c:pt>
                <c:pt idx="159">
                  <c:v>4.8805266087492356</c:v>
                </c:pt>
                <c:pt idx="160">
                  <c:v>5.1503972364714148</c:v>
                </c:pt>
                <c:pt idx="161">
                  <c:v>4.4508528256037341</c:v>
                </c:pt>
                <c:pt idx="162">
                  <c:v>5.2385673621422626</c:v>
                </c:pt>
                <c:pt idx="163">
                  <c:v>5.0968129903373081</c:v>
                </c:pt>
                <c:pt idx="164">
                  <c:v>4.7638818771429126</c:v>
                </c:pt>
                <c:pt idx="165">
                  <c:v>5.4574555878863338</c:v>
                </c:pt>
                <c:pt idx="166">
                  <c:v>2.884800712846709</c:v>
                </c:pt>
                <c:pt idx="167">
                  <c:v>5.331752142634274</c:v>
                </c:pt>
                <c:pt idx="168">
                  <c:v>5.3724967647222881</c:v>
                </c:pt>
                <c:pt idx="169">
                  <c:v>5.6500300186569543</c:v>
                </c:pt>
                <c:pt idx="170">
                  <c:v>3.912023005428146</c:v>
                </c:pt>
                <c:pt idx="171">
                  <c:v>5.1029105702054265</c:v>
                </c:pt>
                <c:pt idx="172">
                  <c:v>2.9755295662364718</c:v>
                </c:pt>
                <c:pt idx="173">
                  <c:v>5.126342101808226</c:v>
                </c:pt>
                <c:pt idx="174">
                  <c:v>5.4044775623764272</c:v>
                </c:pt>
                <c:pt idx="175">
                  <c:v>5.6236564301769159</c:v>
                </c:pt>
                <c:pt idx="176">
                  <c:v>5.5150403500593237</c:v>
                </c:pt>
                <c:pt idx="177">
                  <c:v>5.136974216139274</c:v>
                </c:pt>
                <c:pt idx="178">
                  <c:v>5.6229338867928798</c:v>
                </c:pt>
                <c:pt idx="179">
                  <c:v>5.1095752419511591</c:v>
                </c:pt>
                <c:pt idx="180">
                  <c:v>5.0536947835567023</c:v>
                </c:pt>
                <c:pt idx="181">
                  <c:v>5.3867860145356445</c:v>
                </c:pt>
                <c:pt idx="182">
                  <c:v>4.0289167568996458</c:v>
                </c:pt>
                <c:pt idx="183">
                  <c:v>5.6615706258468919</c:v>
                </c:pt>
                <c:pt idx="184">
                  <c:v>5.5365465552802871</c:v>
                </c:pt>
                <c:pt idx="185">
                  <c:v>5.3230099791384085</c:v>
                </c:pt>
                <c:pt idx="186">
                  <c:v>4.93806460126142</c:v>
                </c:pt>
                <c:pt idx="187">
                  <c:v>5.2527968512462273</c:v>
                </c:pt>
                <c:pt idx="188">
                  <c:v>5.6559918108198524</c:v>
                </c:pt>
                <c:pt idx="189">
                  <c:v>2.9285235238605409</c:v>
                </c:pt>
                <c:pt idx="190">
                  <c:v>3.6763006719070761</c:v>
                </c:pt>
                <c:pt idx="191">
                  <c:v>4.3241326562549789</c:v>
                </c:pt>
                <c:pt idx="192">
                  <c:v>2.8449093838194073</c:v>
                </c:pt>
                <c:pt idx="193">
                  <c:v>5.1167954899246464</c:v>
                </c:pt>
                <c:pt idx="194">
                  <c:v>5.0086332914255829</c:v>
                </c:pt>
                <c:pt idx="195">
                  <c:v>3.6428355156125294</c:v>
                </c:pt>
                <c:pt idx="196">
                  <c:v>4.5454201815823172</c:v>
                </c:pt>
                <c:pt idx="197">
                  <c:v>5.1761497325738288</c:v>
                </c:pt>
                <c:pt idx="198">
                  <c:v>5.6475647946579723</c:v>
                </c:pt>
                <c:pt idx="199">
                  <c:v>5.4471683132803914</c:v>
                </c:pt>
              </c:numCache>
            </c:numRef>
          </c:xVal>
          <c:yVal>
            <c:numRef>
              <c:f>advertising!$R$2:$R$201</c:f>
              <c:numCache>
                <c:formatCode>General</c:formatCode>
                <c:ptCount val="200"/>
                <c:pt idx="0">
                  <c:v>22.1</c:v>
                </c:pt>
                <c:pt idx="1">
                  <c:v>10.4</c:v>
                </c:pt>
                <c:pt idx="2">
                  <c:v>9.3000000000000007</c:v>
                </c:pt>
                <c:pt idx="3">
                  <c:v>18.5</c:v>
                </c:pt>
                <c:pt idx="4">
                  <c:v>12.9</c:v>
                </c:pt>
                <c:pt idx="5">
                  <c:v>7.2</c:v>
                </c:pt>
                <c:pt idx="6">
                  <c:v>11.8</c:v>
                </c:pt>
                <c:pt idx="7">
                  <c:v>13.2</c:v>
                </c:pt>
                <c:pt idx="8">
                  <c:v>4.8</c:v>
                </c:pt>
                <c:pt idx="9">
                  <c:v>10.6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9.1999999999999993</c:v>
                </c:pt>
                <c:pt idx="13">
                  <c:v>9.6999999999999993</c:v>
                </c:pt>
                <c:pt idx="14">
                  <c:v>19</c:v>
                </c:pt>
                <c:pt idx="15">
                  <c:v>22.4</c:v>
                </c:pt>
                <c:pt idx="16">
                  <c:v>12.5</c:v>
                </c:pt>
                <c:pt idx="17">
                  <c:v>24.4</c:v>
                </c:pt>
                <c:pt idx="18">
                  <c:v>11.3</c:v>
                </c:pt>
                <c:pt idx="19">
                  <c:v>14.6</c:v>
                </c:pt>
                <c:pt idx="20">
                  <c:v>18</c:v>
                </c:pt>
                <c:pt idx="21">
                  <c:v>12.5</c:v>
                </c:pt>
                <c:pt idx="22">
                  <c:v>5.6</c:v>
                </c:pt>
                <c:pt idx="23">
                  <c:v>15.5</c:v>
                </c:pt>
                <c:pt idx="24">
                  <c:v>9.6999999999999993</c:v>
                </c:pt>
                <c:pt idx="25">
                  <c:v>12</c:v>
                </c:pt>
                <c:pt idx="26">
                  <c:v>15</c:v>
                </c:pt>
                <c:pt idx="27">
                  <c:v>15.9</c:v>
                </c:pt>
                <c:pt idx="28">
                  <c:v>18.899999999999999</c:v>
                </c:pt>
                <c:pt idx="29">
                  <c:v>10.5</c:v>
                </c:pt>
                <c:pt idx="30">
                  <c:v>21.4</c:v>
                </c:pt>
                <c:pt idx="31">
                  <c:v>11.9</c:v>
                </c:pt>
                <c:pt idx="32">
                  <c:v>9.6</c:v>
                </c:pt>
                <c:pt idx="33">
                  <c:v>17.399999999999999</c:v>
                </c:pt>
                <c:pt idx="34">
                  <c:v>9.5</c:v>
                </c:pt>
                <c:pt idx="35">
                  <c:v>12.8</c:v>
                </c:pt>
                <c:pt idx="36">
                  <c:v>25.4</c:v>
                </c:pt>
                <c:pt idx="37">
                  <c:v>14.7</c:v>
                </c:pt>
                <c:pt idx="38">
                  <c:v>10.1</c:v>
                </c:pt>
                <c:pt idx="39">
                  <c:v>21.5</c:v>
                </c:pt>
                <c:pt idx="40">
                  <c:v>16.600000000000001</c:v>
                </c:pt>
                <c:pt idx="41">
                  <c:v>17.100000000000001</c:v>
                </c:pt>
                <c:pt idx="42">
                  <c:v>20.7</c:v>
                </c:pt>
                <c:pt idx="43">
                  <c:v>12.9</c:v>
                </c:pt>
                <c:pt idx="44">
                  <c:v>8.5</c:v>
                </c:pt>
                <c:pt idx="45">
                  <c:v>14.9</c:v>
                </c:pt>
                <c:pt idx="46">
                  <c:v>10.6</c:v>
                </c:pt>
                <c:pt idx="47">
                  <c:v>23.2</c:v>
                </c:pt>
                <c:pt idx="48">
                  <c:v>14.8</c:v>
                </c:pt>
                <c:pt idx="49">
                  <c:v>9.6999999999999993</c:v>
                </c:pt>
                <c:pt idx="50">
                  <c:v>11.4</c:v>
                </c:pt>
                <c:pt idx="51">
                  <c:v>10.7</c:v>
                </c:pt>
                <c:pt idx="52">
                  <c:v>22.6</c:v>
                </c:pt>
                <c:pt idx="53">
                  <c:v>21.2</c:v>
                </c:pt>
                <c:pt idx="54">
                  <c:v>20.2</c:v>
                </c:pt>
                <c:pt idx="55">
                  <c:v>23.7</c:v>
                </c:pt>
                <c:pt idx="56">
                  <c:v>5.5</c:v>
                </c:pt>
                <c:pt idx="57">
                  <c:v>13.2</c:v>
                </c:pt>
                <c:pt idx="58">
                  <c:v>23.8</c:v>
                </c:pt>
                <c:pt idx="59">
                  <c:v>18.399999999999999</c:v>
                </c:pt>
                <c:pt idx="60">
                  <c:v>8.1</c:v>
                </c:pt>
                <c:pt idx="61">
                  <c:v>24.2</c:v>
                </c:pt>
                <c:pt idx="62">
                  <c:v>15.7</c:v>
                </c:pt>
                <c:pt idx="63">
                  <c:v>14</c:v>
                </c:pt>
                <c:pt idx="64">
                  <c:v>18</c:v>
                </c:pt>
                <c:pt idx="65">
                  <c:v>9.3000000000000007</c:v>
                </c:pt>
                <c:pt idx="66">
                  <c:v>9.5</c:v>
                </c:pt>
                <c:pt idx="67">
                  <c:v>13.4</c:v>
                </c:pt>
                <c:pt idx="68">
                  <c:v>18.899999999999999</c:v>
                </c:pt>
                <c:pt idx="69">
                  <c:v>22.3</c:v>
                </c:pt>
                <c:pt idx="70">
                  <c:v>18.3</c:v>
                </c:pt>
                <c:pt idx="71">
                  <c:v>12.4</c:v>
                </c:pt>
                <c:pt idx="72">
                  <c:v>8.8000000000000007</c:v>
                </c:pt>
                <c:pt idx="73">
                  <c:v>11</c:v>
                </c:pt>
                <c:pt idx="74">
                  <c:v>17</c:v>
                </c:pt>
                <c:pt idx="75">
                  <c:v>8.6999999999999993</c:v>
                </c:pt>
                <c:pt idx="76">
                  <c:v>6.9</c:v>
                </c:pt>
                <c:pt idx="77">
                  <c:v>14.2</c:v>
                </c:pt>
                <c:pt idx="78">
                  <c:v>5.3</c:v>
                </c:pt>
                <c:pt idx="79">
                  <c:v>11</c:v>
                </c:pt>
                <c:pt idx="80">
                  <c:v>11.8</c:v>
                </c:pt>
                <c:pt idx="81">
                  <c:v>12.3</c:v>
                </c:pt>
                <c:pt idx="82">
                  <c:v>11.3</c:v>
                </c:pt>
                <c:pt idx="83">
                  <c:v>13.6</c:v>
                </c:pt>
                <c:pt idx="84">
                  <c:v>21.7</c:v>
                </c:pt>
                <c:pt idx="85">
                  <c:v>15.2</c:v>
                </c:pt>
                <c:pt idx="86">
                  <c:v>12</c:v>
                </c:pt>
                <c:pt idx="87">
                  <c:v>16</c:v>
                </c:pt>
                <c:pt idx="88">
                  <c:v>12.9</c:v>
                </c:pt>
                <c:pt idx="89">
                  <c:v>16.7</c:v>
                </c:pt>
                <c:pt idx="90">
                  <c:v>11.2</c:v>
                </c:pt>
                <c:pt idx="91">
                  <c:v>7.3</c:v>
                </c:pt>
                <c:pt idx="92">
                  <c:v>19.399999999999999</c:v>
                </c:pt>
                <c:pt idx="93">
                  <c:v>22.2</c:v>
                </c:pt>
                <c:pt idx="94">
                  <c:v>11.5</c:v>
                </c:pt>
                <c:pt idx="95">
                  <c:v>16.899999999999999</c:v>
                </c:pt>
                <c:pt idx="96">
                  <c:v>11.7</c:v>
                </c:pt>
                <c:pt idx="97">
                  <c:v>15.5</c:v>
                </c:pt>
                <c:pt idx="98">
                  <c:v>25.4</c:v>
                </c:pt>
                <c:pt idx="99">
                  <c:v>17.2</c:v>
                </c:pt>
                <c:pt idx="100">
                  <c:v>11.7</c:v>
                </c:pt>
                <c:pt idx="101">
                  <c:v>23.8</c:v>
                </c:pt>
                <c:pt idx="102">
                  <c:v>14.8</c:v>
                </c:pt>
                <c:pt idx="103">
                  <c:v>14.7</c:v>
                </c:pt>
                <c:pt idx="104">
                  <c:v>20.7</c:v>
                </c:pt>
                <c:pt idx="105">
                  <c:v>19.2</c:v>
                </c:pt>
                <c:pt idx="106">
                  <c:v>7.2</c:v>
                </c:pt>
                <c:pt idx="107">
                  <c:v>8.6999999999999993</c:v>
                </c:pt>
                <c:pt idx="108">
                  <c:v>5.3</c:v>
                </c:pt>
                <c:pt idx="109">
                  <c:v>19.8</c:v>
                </c:pt>
                <c:pt idx="110">
                  <c:v>13.4</c:v>
                </c:pt>
                <c:pt idx="111">
                  <c:v>21.8</c:v>
                </c:pt>
                <c:pt idx="112">
                  <c:v>14.1</c:v>
                </c:pt>
                <c:pt idx="113">
                  <c:v>15.9</c:v>
                </c:pt>
                <c:pt idx="114">
                  <c:v>14.6</c:v>
                </c:pt>
                <c:pt idx="115">
                  <c:v>12.6</c:v>
                </c:pt>
                <c:pt idx="116">
                  <c:v>12.2</c:v>
                </c:pt>
                <c:pt idx="117">
                  <c:v>9.4</c:v>
                </c:pt>
                <c:pt idx="118">
                  <c:v>15.9</c:v>
                </c:pt>
                <c:pt idx="119">
                  <c:v>6.6</c:v>
                </c:pt>
                <c:pt idx="120">
                  <c:v>15.5</c:v>
                </c:pt>
                <c:pt idx="121">
                  <c:v>7</c:v>
                </c:pt>
                <c:pt idx="122">
                  <c:v>11.6</c:v>
                </c:pt>
                <c:pt idx="123">
                  <c:v>15.2</c:v>
                </c:pt>
                <c:pt idx="124">
                  <c:v>19.7</c:v>
                </c:pt>
                <c:pt idx="125">
                  <c:v>10.6</c:v>
                </c:pt>
                <c:pt idx="126">
                  <c:v>6.6</c:v>
                </c:pt>
                <c:pt idx="127">
                  <c:v>8.8000000000000007</c:v>
                </c:pt>
                <c:pt idx="128">
                  <c:v>24.7</c:v>
                </c:pt>
                <c:pt idx="129">
                  <c:v>9.6999999999999993</c:v>
                </c:pt>
                <c:pt idx="130">
                  <c:v>1.6</c:v>
                </c:pt>
                <c:pt idx="131">
                  <c:v>12.7</c:v>
                </c:pt>
                <c:pt idx="132">
                  <c:v>5.7</c:v>
                </c:pt>
                <c:pt idx="133">
                  <c:v>19.600000000000001</c:v>
                </c:pt>
                <c:pt idx="134">
                  <c:v>10.8</c:v>
                </c:pt>
                <c:pt idx="135">
                  <c:v>11.6</c:v>
                </c:pt>
                <c:pt idx="136">
                  <c:v>9.5</c:v>
                </c:pt>
                <c:pt idx="137">
                  <c:v>20.8</c:v>
                </c:pt>
                <c:pt idx="138">
                  <c:v>9.6</c:v>
                </c:pt>
                <c:pt idx="139">
                  <c:v>20.7</c:v>
                </c:pt>
                <c:pt idx="140">
                  <c:v>10.9</c:v>
                </c:pt>
                <c:pt idx="141">
                  <c:v>19.2</c:v>
                </c:pt>
                <c:pt idx="142">
                  <c:v>20.100000000000001</c:v>
                </c:pt>
                <c:pt idx="143">
                  <c:v>10.4</c:v>
                </c:pt>
                <c:pt idx="144">
                  <c:v>11.4</c:v>
                </c:pt>
                <c:pt idx="145">
                  <c:v>10.3</c:v>
                </c:pt>
                <c:pt idx="146">
                  <c:v>13.2</c:v>
                </c:pt>
                <c:pt idx="147">
                  <c:v>25.4</c:v>
                </c:pt>
                <c:pt idx="148">
                  <c:v>10.9</c:v>
                </c:pt>
                <c:pt idx="149">
                  <c:v>10.1</c:v>
                </c:pt>
                <c:pt idx="150">
                  <c:v>16.100000000000001</c:v>
                </c:pt>
                <c:pt idx="151">
                  <c:v>11.6</c:v>
                </c:pt>
                <c:pt idx="152">
                  <c:v>16.600000000000001</c:v>
                </c:pt>
                <c:pt idx="153">
                  <c:v>19</c:v>
                </c:pt>
                <c:pt idx="154">
                  <c:v>15.6</c:v>
                </c:pt>
                <c:pt idx="155">
                  <c:v>3.2</c:v>
                </c:pt>
                <c:pt idx="156">
                  <c:v>15.3</c:v>
                </c:pt>
                <c:pt idx="157">
                  <c:v>10.1</c:v>
                </c:pt>
                <c:pt idx="158">
                  <c:v>7.3</c:v>
                </c:pt>
                <c:pt idx="159">
                  <c:v>12.9</c:v>
                </c:pt>
                <c:pt idx="160">
                  <c:v>14.4</c:v>
                </c:pt>
                <c:pt idx="161">
                  <c:v>13.3</c:v>
                </c:pt>
                <c:pt idx="162">
                  <c:v>14.9</c:v>
                </c:pt>
                <c:pt idx="163">
                  <c:v>18</c:v>
                </c:pt>
                <c:pt idx="164">
                  <c:v>11.9</c:v>
                </c:pt>
                <c:pt idx="165">
                  <c:v>11.9</c:v>
                </c:pt>
                <c:pt idx="166">
                  <c:v>8</c:v>
                </c:pt>
                <c:pt idx="167">
                  <c:v>12.2</c:v>
                </c:pt>
                <c:pt idx="168">
                  <c:v>17.100000000000001</c:v>
                </c:pt>
                <c:pt idx="169">
                  <c:v>15</c:v>
                </c:pt>
                <c:pt idx="170">
                  <c:v>8.4</c:v>
                </c:pt>
                <c:pt idx="171">
                  <c:v>14.5</c:v>
                </c:pt>
                <c:pt idx="172">
                  <c:v>7.6</c:v>
                </c:pt>
                <c:pt idx="173">
                  <c:v>11.7</c:v>
                </c:pt>
                <c:pt idx="174">
                  <c:v>11.5</c:v>
                </c:pt>
                <c:pt idx="175">
                  <c:v>27</c:v>
                </c:pt>
                <c:pt idx="176">
                  <c:v>20.2</c:v>
                </c:pt>
                <c:pt idx="177">
                  <c:v>11.7</c:v>
                </c:pt>
                <c:pt idx="178">
                  <c:v>11.8</c:v>
                </c:pt>
                <c:pt idx="179">
                  <c:v>12.6</c:v>
                </c:pt>
                <c:pt idx="180">
                  <c:v>10.5</c:v>
                </c:pt>
                <c:pt idx="181">
                  <c:v>12.2</c:v>
                </c:pt>
                <c:pt idx="182">
                  <c:v>8.6999999999999993</c:v>
                </c:pt>
                <c:pt idx="183">
                  <c:v>26.2</c:v>
                </c:pt>
                <c:pt idx="184">
                  <c:v>17.600000000000001</c:v>
                </c:pt>
                <c:pt idx="185">
                  <c:v>22.6</c:v>
                </c:pt>
                <c:pt idx="186">
                  <c:v>10.3</c:v>
                </c:pt>
                <c:pt idx="187">
                  <c:v>17.3</c:v>
                </c:pt>
                <c:pt idx="188">
                  <c:v>15.9</c:v>
                </c:pt>
                <c:pt idx="189">
                  <c:v>6.7</c:v>
                </c:pt>
                <c:pt idx="190">
                  <c:v>10.8</c:v>
                </c:pt>
                <c:pt idx="191">
                  <c:v>9.9</c:v>
                </c:pt>
                <c:pt idx="192">
                  <c:v>5.9</c:v>
                </c:pt>
                <c:pt idx="193">
                  <c:v>19.600000000000001</c:v>
                </c:pt>
                <c:pt idx="194">
                  <c:v>17.3</c:v>
                </c:pt>
                <c:pt idx="195">
                  <c:v>7.6</c:v>
                </c:pt>
                <c:pt idx="196">
                  <c:v>9.6999999999999993</c:v>
                </c:pt>
                <c:pt idx="197">
                  <c:v>12.8</c:v>
                </c:pt>
                <c:pt idx="198">
                  <c:v>25.5</c:v>
                </c:pt>
                <c:pt idx="199">
                  <c:v>13.4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2B-49D1-BBE5-55FB49086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940768"/>
        <c:axId val="1576213920"/>
      </c:scatterChart>
      <c:valAx>
        <c:axId val="149294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13920"/>
        <c:crosses val="autoZero"/>
        <c:crossBetween val="midCat"/>
      </c:valAx>
      <c:valAx>
        <c:axId val="15762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4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082F2-2650-49DF-8608-80B9E2D34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238125</xdr:colOff>
      <xdr:row>2</xdr:row>
      <xdr:rowOff>180975</xdr:rowOff>
    </xdr:from>
    <xdr:to>
      <xdr:col>16</xdr:col>
      <xdr:colOff>238125</xdr:colOff>
      <xdr:row>12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B6B134-FE80-4B90-9EB3-62582D6EA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238125</xdr:colOff>
      <xdr:row>4</xdr:row>
      <xdr:rowOff>180975</xdr:rowOff>
    </xdr:from>
    <xdr:to>
      <xdr:col>17</xdr:col>
      <xdr:colOff>238125</xdr:colOff>
      <xdr:row>14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377D4-645F-4C6C-B535-14899DF9A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238125</xdr:colOff>
      <xdr:row>6</xdr:row>
      <xdr:rowOff>180975</xdr:rowOff>
    </xdr:from>
    <xdr:to>
      <xdr:col>18</xdr:col>
      <xdr:colOff>238125</xdr:colOff>
      <xdr:row>16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7383E1-3DB6-458F-88A7-9DEBB7152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238125</xdr:colOff>
      <xdr:row>8</xdr:row>
      <xdr:rowOff>180975</xdr:rowOff>
    </xdr:from>
    <xdr:to>
      <xdr:col>19</xdr:col>
      <xdr:colOff>238125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8A53E7-50C0-4E8F-BCB0-D4CB3BD43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238125</xdr:colOff>
      <xdr:row>10</xdr:row>
      <xdr:rowOff>180975</xdr:rowOff>
    </xdr:from>
    <xdr:to>
      <xdr:col>20</xdr:col>
      <xdr:colOff>238125</xdr:colOff>
      <xdr:row>20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433E30-A200-4038-8930-F0FAD786F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104775</xdr:colOff>
      <xdr:row>8</xdr:row>
      <xdr:rowOff>142875</xdr:rowOff>
    </xdr:from>
    <xdr:to>
      <xdr:col>25</xdr:col>
      <xdr:colOff>104775</xdr:colOff>
      <xdr:row>18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499D63-BBA0-49BB-8A2A-785A8590B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331304</xdr:colOff>
      <xdr:row>3</xdr:row>
      <xdr:rowOff>82826</xdr:rowOff>
    </xdr:from>
    <xdr:to>
      <xdr:col>28</xdr:col>
      <xdr:colOff>0</xdr:colOff>
      <xdr:row>17</xdr:row>
      <xdr:rowOff>159026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CBC9B2-59AA-497F-A6FD-C1D1849F3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256760</xdr:colOff>
      <xdr:row>19</xdr:row>
      <xdr:rowOff>53009</xdr:rowOff>
    </xdr:from>
    <xdr:to>
      <xdr:col>27</xdr:col>
      <xdr:colOff>538369</xdr:colOff>
      <xdr:row>33</xdr:row>
      <xdr:rowOff>129209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8AEE07-B975-4D09-B3BD-75257C4F0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"/>
  <sheetViews>
    <sheetView workbookViewId="0">
      <selection activeCell="B17" sqref="B17:B20"/>
    </sheetView>
  </sheetViews>
  <sheetFormatPr defaultRowHeight="15" x14ac:dyDescent="0.25"/>
  <sheetData>
    <row r="1" spans="1:9" x14ac:dyDescent="0.25">
      <c r="A1" t="s">
        <v>9</v>
      </c>
    </row>
    <row r="2" spans="1:9" ht="15.75" thickBot="1" x14ac:dyDescent="0.3"/>
    <row r="3" spans="1:9" x14ac:dyDescent="0.25">
      <c r="A3" s="6" t="s">
        <v>10</v>
      </c>
      <c r="B3" s="6"/>
    </row>
    <row r="4" spans="1:9" x14ac:dyDescent="0.25">
      <c r="A4" s="3" t="s">
        <v>11</v>
      </c>
      <c r="B4" s="3">
        <v>0.94721203443524304</v>
      </c>
    </row>
    <row r="5" spans="1:9" x14ac:dyDescent="0.25">
      <c r="A5" s="3" t="s">
        <v>12</v>
      </c>
      <c r="B5" s="3">
        <v>0.89721063817895208</v>
      </c>
    </row>
    <row r="6" spans="1:9" x14ac:dyDescent="0.25">
      <c r="A6" s="3" t="s">
        <v>13</v>
      </c>
      <c r="B6" s="3">
        <v>0.89563733162046666</v>
      </c>
    </row>
    <row r="7" spans="1:9" x14ac:dyDescent="0.25">
      <c r="A7" s="3" t="s">
        <v>14</v>
      </c>
      <c r="B7" s="3">
        <v>1.6855103734147443</v>
      </c>
    </row>
    <row r="8" spans="1:9" ht="15.75" thickBot="1" x14ac:dyDescent="0.3">
      <c r="A8" s="4" t="s">
        <v>15</v>
      </c>
      <c r="B8" s="4">
        <v>200</v>
      </c>
    </row>
    <row r="10" spans="1:9" ht="15.75" thickBot="1" x14ac:dyDescent="0.3">
      <c r="A10" t="s">
        <v>16</v>
      </c>
    </row>
    <row r="11" spans="1:9" x14ac:dyDescent="0.25">
      <c r="A11" s="5"/>
      <c r="B11" s="5" t="s">
        <v>21</v>
      </c>
      <c r="C11" s="5" t="s">
        <v>22</v>
      </c>
      <c r="D11" s="5" t="s">
        <v>23</v>
      </c>
      <c r="E11" s="5" t="s">
        <v>24</v>
      </c>
      <c r="F11" s="5" t="s">
        <v>25</v>
      </c>
    </row>
    <row r="12" spans="1:9" x14ac:dyDescent="0.25">
      <c r="A12" s="3" t="s">
        <v>17</v>
      </c>
      <c r="B12" s="3">
        <v>3</v>
      </c>
      <c r="C12" s="3">
        <v>4860.3234870978104</v>
      </c>
      <c r="D12" s="3">
        <v>1620.1078290326034</v>
      </c>
      <c r="E12" s="3">
        <v>570.27070365909378</v>
      </c>
      <c r="F12" s="3">
        <v>1.5752272560925405E-96</v>
      </c>
    </row>
    <row r="13" spans="1:9" x14ac:dyDescent="0.25">
      <c r="A13" s="3" t="s">
        <v>18</v>
      </c>
      <c r="B13" s="3">
        <v>196</v>
      </c>
      <c r="C13" s="3">
        <v>556.82526290218732</v>
      </c>
      <c r="D13" s="3">
        <v>2.8409452188887108</v>
      </c>
      <c r="E13" s="3"/>
      <c r="F13" s="3"/>
    </row>
    <row r="14" spans="1:9" ht="15.75" thickBot="1" x14ac:dyDescent="0.3">
      <c r="A14" s="4" t="s">
        <v>19</v>
      </c>
      <c r="B14" s="4">
        <v>199</v>
      </c>
      <c r="C14" s="4">
        <v>5417.1487499999976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26</v>
      </c>
      <c r="C16" s="5" t="s">
        <v>14</v>
      </c>
      <c r="D16" s="5" t="s">
        <v>27</v>
      </c>
      <c r="E16" s="5" t="s">
        <v>28</v>
      </c>
      <c r="F16" s="5" t="s">
        <v>29</v>
      </c>
      <c r="G16" s="5" t="s">
        <v>30</v>
      </c>
      <c r="H16" s="5" t="s">
        <v>31</v>
      </c>
      <c r="I16" s="5" t="s">
        <v>32</v>
      </c>
    </row>
    <row r="17" spans="1:9" x14ac:dyDescent="0.25">
      <c r="A17" s="3" t="s">
        <v>20</v>
      </c>
      <c r="B17" s="3">
        <v>2.9388893694594174</v>
      </c>
      <c r="C17" s="3">
        <v>0.3119082363217911</v>
      </c>
      <c r="D17" s="3">
        <v>9.4222884400763594</v>
      </c>
      <c r="E17" s="3">
        <v>1.2672945051313229E-17</v>
      </c>
      <c r="F17" s="3">
        <v>2.3237622792333079</v>
      </c>
      <c r="G17" s="3">
        <v>3.5540164596855268</v>
      </c>
      <c r="H17" s="3">
        <v>2.3237622792333079</v>
      </c>
      <c r="I17" s="3">
        <v>3.5540164596855268</v>
      </c>
    </row>
    <row r="18" spans="1:9" x14ac:dyDescent="0.25">
      <c r="A18" s="3" t="s">
        <v>0</v>
      </c>
      <c r="B18" s="3">
        <v>4.576464545539756E-2</v>
      </c>
      <c r="C18" s="3">
        <v>1.3948968069749748E-3</v>
      </c>
      <c r="D18" s="3">
        <v>32.808624427669656</v>
      </c>
      <c r="E18" s="3">
        <v>1.5099599548145318E-81</v>
      </c>
      <c r="F18" s="3">
        <v>4.301371196239745E-2</v>
      </c>
      <c r="G18" s="3">
        <v>4.851557894839767E-2</v>
      </c>
      <c r="H18" s="3">
        <v>4.301371196239745E-2</v>
      </c>
      <c r="I18" s="3">
        <v>4.851557894839767E-2</v>
      </c>
    </row>
    <row r="19" spans="1:9" x14ac:dyDescent="0.25">
      <c r="A19" s="3" t="s">
        <v>1</v>
      </c>
      <c r="B19" s="3">
        <v>0.18853001691820431</v>
      </c>
      <c r="C19" s="3">
        <v>8.6112339673019428E-3</v>
      </c>
      <c r="D19" s="3">
        <v>21.893496058065441</v>
      </c>
      <c r="E19" s="3">
        <v>1.5053389205757539E-54</v>
      </c>
      <c r="F19" s="3">
        <v>0.1715474474419118</v>
      </c>
      <c r="G19" s="3">
        <v>0.20551258639449682</v>
      </c>
      <c r="H19" s="3">
        <v>0.1715474474419118</v>
      </c>
      <c r="I19" s="3">
        <v>0.20551258639449682</v>
      </c>
    </row>
    <row r="20" spans="1:9" ht="15.75" thickBot="1" x14ac:dyDescent="0.3">
      <c r="A20" s="4" t="s">
        <v>2</v>
      </c>
      <c r="B20" s="4">
        <v>-1.037493042476263E-3</v>
      </c>
      <c r="C20" s="4">
        <v>5.8710096470863671E-3</v>
      </c>
      <c r="D20" s="4">
        <v>-0.17671458656027664</v>
      </c>
      <c r="E20" s="4">
        <v>0.85991505008057501</v>
      </c>
      <c r="F20" s="4">
        <v>-1.2615953180270797E-2</v>
      </c>
      <c r="G20" s="4">
        <v>1.0540967095318272E-2</v>
      </c>
      <c r="H20" s="4">
        <v>-1.2615953180270797E-2</v>
      </c>
      <c r="I20" s="4">
        <v>1.0540967095318272E-2</v>
      </c>
    </row>
    <row r="24" spans="1:9" x14ac:dyDescent="0.25">
      <c r="A24" t="s">
        <v>33</v>
      </c>
      <c r="F24" t="s">
        <v>38</v>
      </c>
    </row>
    <row r="25" spans="1:9" ht="15.75" thickBot="1" x14ac:dyDescent="0.3"/>
    <row r="26" spans="1:9" x14ac:dyDescent="0.25">
      <c r="A26" s="5" t="s">
        <v>34</v>
      </c>
      <c r="B26" s="5" t="s">
        <v>35</v>
      </c>
      <c r="C26" s="5" t="s">
        <v>36</v>
      </c>
      <c r="D26" s="5" t="s">
        <v>37</v>
      </c>
      <c r="F26" s="5" t="s">
        <v>39</v>
      </c>
      <c r="G26" s="5" t="s">
        <v>3</v>
      </c>
    </row>
    <row r="27" spans="1:9" x14ac:dyDescent="0.25">
      <c r="A27" s="3">
        <v>1</v>
      </c>
      <c r="B27" s="3">
        <v>20.523974409715162</v>
      </c>
      <c r="C27" s="3">
        <v>1.5760255902848392</v>
      </c>
      <c r="D27" s="3">
        <v>0.94217231299432236</v>
      </c>
      <c r="F27" s="3">
        <v>0.25</v>
      </c>
      <c r="G27" s="3">
        <v>1.6</v>
      </c>
    </row>
    <row r="28" spans="1:9" x14ac:dyDescent="0.25">
      <c r="A28" s="3">
        <v>2</v>
      </c>
      <c r="B28" s="3">
        <v>12.337854820894361</v>
      </c>
      <c r="C28" s="3">
        <v>-1.9378548208943602</v>
      </c>
      <c r="D28" s="3">
        <v>-1.1584793864414709</v>
      </c>
      <c r="F28" s="3">
        <v>0.75</v>
      </c>
      <c r="G28" s="3">
        <v>3.2</v>
      </c>
    </row>
    <row r="29" spans="1:9" x14ac:dyDescent="0.25">
      <c r="A29" s="3">
        <v>3</v>
      </c>
      <c r="B29" s="3">
        <v>12.307670779994229</v>
      </c>
      <c r="C29" s="3">
        <v>-3.0076707799942284</v>
      </c>
      <c r="D29" s="3">
        <v>-1.7980318041666123</v>
      </c>
      <c r="F29" s="3">
        <v>1.25</v>
      </c>
      <c r="G29" s="3">
        <v>4.8</v>
      </c>
    </row>
    <row r="30" spans="1:9" x14ac:dyDescent="0.25">
      <c r="A30" s="3">
        <v>4</v>
      </c>
      <c r="B30" s="3">
        <v>17.597829511689124</v>
      </c>
      <c r="C30" s="3">
        <v>0.9021704883108761</v>
      </c>
      <c r="D30" s="3">
        <v>0.5393313794691954</v>
      </c>
      <c r="F30" s="3">
        <v>1.75</v>
      </c>
      <c r="G30" s="3">
        <v>5.3</v>
      </c>
    </row>
    <row r="31" spans="1:9" x14ac:dyDescent="0.25">
      <c r="A31" s="3">
        <v>5</v>
      </c>
      <c r="B31" s="3">
        <v>13.18867185683129</v>
      </c>
      <c r="C31" s="3">
        <v>-0.28867185683128938</v>
      </c>
      <c r="D31" s="3">
        <v>-0.17257247136320061</v>
      </c>
      <c r="F31" s="3">
        <v>2.25</v>
      </c>
      <c r="G31" s="3">
        <v>5.3</v>
      </c>
    </row>
    <row r="32" spans="1:9" x14ac:dyDescent="0.25">
      <c r="A32" s="3">
        <v>6</v>
      </c>
      <c r="B32" s="3">
        <v>12.478347634035847</v>
      </c>
      <c r="C32" s="3">
        <v>-5.2783476340358471</v>
      </c>
      <c r="D32" s="3">
        <v>-3.15547731572611</v>
      </c>
      <c r="F32" s="3">
        <v>2.75</v>
      </c>
      <c r="G32" s="3">
        <v>5.5</v>
      </c>
    </row>
    <row r="33" spans="1:7" x14ac:dyDescent="0.25">
      <c r="A33" s="3">
        <v>7</v>
      </c>
      <c r="B33" s="3">
        <v>11.729759951563686</v>
      </c>
      <c r="C33" s="3">
        <v>7.0240048436314595E-2</v>
      </c>
      <c r="D33" s="3">
        <v>4.1990580170792269E-2</v>
      </c>
      <c r="F33" s="3">
        <v>3.25</v>
      </c>
      <c r="G33" s="3">
        <v>5.6</v>
      </c>
    </row>
    <row r="34" spans="1:7" x14ac:dyDescent="0.25">
      <c r="A34" s="3">
        <v>8</v>
      </c>
      <c r="B34" s="3">
        <v>12.122953165502285</v>
      </c>
      <c r="C34" s="3">
        <v>1.0770468344977147</v>
      </c>
      <c r="D34" s="3">
        <v>0.64387514613802943</v>
      </c>
      <c r="F34" s="3">
        <v>3.75</v>
      </c>
      <c r="G34" s="3">
        <v>5.7</v>
      </c>
    </row>
    <row r="35" spans="1:7" x14ac:dyDescent="0.25">
      <c r="A35" s="3">
        <v>9</v>
      </c>
      <c r="B35" s="3">
        <v>3.7273408628615892</v>
      </c>
      <c r="C35" s="3">
        <v>1.0726591371384107</v>
      </c>
      <c r="D35" s="3">
        <v>0.64125211324109055</v>
      </c>
      <c r="F35" s="3">
        <v>4.25</v>
      </c>
      <c r="G35" s="3">
        <v>5.9</v>
      </c>
    </row>
    <row r="36" spans="1:7" x14ac:dyDescent="0.25">
      <c r="A36" s="3">
        <v>10</v>
      </c>
      <c r="B36" s="3">
        <v>12.550848722934685</v>
      </c>
      <c r="C36" s="3">
        <v>-1.9508487229346851</v>
      </c>
      <c r="D36" s="3">
        <v>-1.1662473407282676</v>
      </c>
      <c r="F36" s="3">
        <v>4.75</v>
      </c>
      <c r="G36" s="3">
        <v>6.6</v>
      </c>
    </row>
    <row r="37" spans="1:7" x14ac:dyDescent="0.25">
      <c r="A37" s="3">
        <v>11</v>
      </c>
      <c r="B37" s="3">
        <v>7.0322992005588549</v>
      </c>
      <c r="C37" s="3">
        <v>1.5677007994411447</v>
      </c>
      <c r="D37" s="3">
        <v>0.93719562512025034</v>
      </c>
      <c r="F37" s="3">
        <v>5.25</v>
      </c>
      <c r="G37" s="3">
        <v>6.6</v>
      </c>
    </row>
    <row r="38" spans="1:7" x14ac:dyDescent="0.25">
      <c r="A38" s="3">
        <v>12</v>
      </c>
      <c r="B38" s="3">
        <v>17.285129182600272</v>
      </c>
      <c r="C38" s="3">
        <v>0.11487081739972638</v>
      </c>
      <c r="D38" s="3">
        <v>6.8671539594409942E-2</v>
      </c>
      <c r="F38" s="3">
        <v>5.75</v>
      </c>
      <c r="G38" s="3">
        <v>6.7</v>
      </c>
    </row>
    <row r="39" spans="1:7" x14ac:dyDescent="0.25">
      <c r="A39" s="3">
        <v>13</v>
      </c>
      <c r="B39" s="3">
        <v>10.577120733627664</v>
      </c>
      <c r="C39" s="3">
        <v>-1.377120733627665</v>
      </c>
      <c r="D39" s="3">
        <v>-0.82326393357605143</v>
      </c>
      <c r="F39" s="3">
        <v>6.25</v>
      </c>
      <c r="G39" s="3">
        <v>6.9</v>
      </c>
    </row>
    <row r="40" spans="1:7" x14ac:dyDescent="0.25">
      <c r="A40" s="3">
        <v>14</v>
      </c>
      <c r="B40" s="3">
        <v>8.8263004800332023</v>
      </c>
      <c r="C40" s="3">
        <v>0.87369951996679696</v>
      </c>
      <c r="D40" s="3">
        <v>0.52231099714591023</v>
      </c>
      <c r="F40" s="3">
        <v>6.75</v>
      </c>
      <c r="G40" s="3">
        <v>7</v>
      </c>
    </row>
    <row r="41" spans="1:7" x14ac:dyDescent="0.25">
      <c r="A41" s="3">
        <v>15</v>
      </c>
      <c r="B41" s="3">
        <v>18.43436638356107</v>
      </c>
      <c r="C41" s="3">
        <v>0.56563361643893018</v>
      </c>
      <c r="D41" s="3">
        <v>0.33814446668425818</v>
      </c>
      <c r="F41" s="3">
        <v>7.25</v>
      </c>
      <c r="G41" s="3">
        <v>7.2</v>
      </c>
    </row>
    <row r="42" spans="1:7" x14ac:dyDescent="0.25">
      <c r="A42" s="3">
        <v>16</v>
      </c>
      <c r="B42" s="3">
        <v>20.819299516495455</v>
      </c>
      <c r="C42" s="3">
        <v>1.5807004835045433</v>
      </c>
      <c r="D42" s="3">
        <v>0.94496703598927956</v>
      </c>
      <c r="F42" s="3">
        <v>7.75</v>
      </c>
      <c r="G42" s="3">
        <v>7.2</v>
      </c>
    </row>
    <row r="43" spans="1:7" x14ac:dyDescent="0.25">
      <c r="A43" s="3">
        <v>17</v>
      </c>
      <c r="B43" s="3">
        <v>12.823656743699356</v>
      </c>
      <c r="C43" s="3">
        <v>-0.32365674369935604</v>
      </c>
      <c r="D43" s="3">
        <v>-0.19348697426437103</v>
      </c>
      <c r="F43" s="3">
        <v>8.25</v>
      </c>
      <c r="G43" s="3">
        <v>7.3</v>
      </c>
    </row>
    <row r="44" spans="1:7" x14ac:dyDescent="0.25">
      <c r="A44" s="3">
        <v>18</v>
      </c>
      <c r="B44" s="3">
        <v>23.224957158799004</v>
      </c>
      <c r="C44" s="3">
        <v>1.1750428412009946</v>
      </c>
      <c r="D44" s="3">
        <v>0.70245866462211026</v>
      </c>
      <c r="F44" s="3">
        <v>8.75</v>
      </c>
      <c r="G44" s="3">
        <v>7.3</v>
      </c>
    </row>
    <row r="45" spans="1:7" x14ac:dyDescent="0.25">
      <c r="A45" s="3">
        <v>19</v>
      </c>
      <c r="B45" s="3">
        <v>9.9516820591188022</v>
      </c>
      <c r="C45" s="3">
        <v>1.3483179408811985</v>
      </c>
      <c r="D45" s="3">
        <v>0.80604518152664484</v>
      </c>
      <c r="F45" s="3">
        <v>9.25</v>
      </c>
      <c r="G45" s="3">
        <v>7.6</v>
      </c>
    </row>
    <row r="46" spans="1:7" x14ac:dyDescent="0.25">
      <c r="A46" s="3">
        <v>20</v>
      </c>
      <c r="B46" s="3">
        <v>14.166072932273263</v>
      </c>
      <c r="C46" s="3">
        <v>0.43392706772673684</v>
      </c>
      <c r="D46" s="3">
        <v>0.25940826823570418</v>
      </c>
      <c r="F46" s="3">
        <v>9.75</v>
      </c>
      <c r="G46" s="3">
        <v>7.6</v>
      </c>
    </row>
    <row r="47" spans="1:7" x14ac:dyDescent="0.25">
      <c r="A47" s="3">
        <v>21</v>
      </c>
      <c r="B47" s="3">
        <v>18.100767277084273</v>
      </c>
      <c r="C47" s="3">
        <v>-0.10076727708427313</v>
      </c>
      <c r="D47" s="3">
        <v>-6.0240226497509222E-2</v>
      </c>
      <c r="F47" s="3">
        <v>10.25</v>
      </c>
      <c r="G47" s="3">
        <v>8</v>
      </c>
    </row>
    <row r="48" spans="1:7" x14ac:dyDescent="0.25">
      <c r="A48" s="3">
        <v>22</v>
      </c>
      <c r="B48" s="3">
        <v>14.740538200355449</v>
      </c>
      <c r="C48" s="3">
        <v>-2.2405382003554486</v>
      </c>
      <c r="D48" s="3">
        <v>-1.3394281613152663</v>
      </c>
      <c r="F48" s="3">
        <v>10.75</v>
      </c>
      <c r="G48" s="3">
        <v>8.1</v>
      </c>
    </row>
    <row r="49" spans="1:7" x14ac:dyDescent="0.25">
      <c r="A49" s="3">
        <v>23</v>
      </c>
      <c r="B49" s="3">
        <v>6.4891503035632914</v>
      </c>
      <c r="C49" s="3">
        <v>-0.88915030356329172</v>
      </c>
      <c r="D49" s="3">
        <v>-0.53154771297617365</v>
      </c>
      <c r="F49" s="3">
        <v>11.25</v>
      </c>
      <c r="G49" s="3">
        <v>8.4</v>
      </c>
    </row>
    <row r="50" spans="1:7" x14ac:dyDescent="0.25">
      <c r="A50" s="3">
        <v>24</v>
      </c>
      <c r="B50" s="3">
        <v>16.545932895131454</v>
      </c>
      <c r="C50" s="3">
        <v>-1.0459328951314539</v>
      </c>
      <c r="D50" s="3">
        <v>-0.62527475512929154</v>
      </c>
      <c r="F50" s="3">
        <v>11.75</v>
      </c>
      <c r="G50" s="3">
        <v>8.5</v>
      </c>
    </row>
    <row r="51" spans="1:7" x14ac:dyDescent="0.25">
      <c r="A51" s="3">
        <v>25</v>
      </c>
      <c r="B51" s="3">
        <v>8.1465188718227441</v>
      </c>
      <c r="C51" s="3">
        <v>1.5534811281772551</v>
      </c>
      <c r="D51" s="3">
        <v>0.92869488715806003</v>
      </c>
      <c r="F51" s="3">
        <v>12.25</v>
      </c>
      <c r="G51" s="3">
        <v>8.6</v>
      </c>
    </row>
    <row r="52" spans="1:7" x14ac:dyDescent="0.25">
      <c r="A52" s="3">
        <v>26</v>
      </c>
      <c r="B52" s="3">
        <v>15.610038604568864</v>
      </c>
      <c r="C52" s="3">
        <v>-3.6100386045688637</v>
      </c>
      <c r="D52" s="3">
        <v>-2.1581365448835892</v>
      </c>
      <c r="F52" s="3">
        <v>12.75</v>
      </c>
      <c r="G52" s="3">
        <v>8.6999999999999993</v>
      </c>
    </row>
    <row r="53" spans="1:7" x14ac:dyDescent="0.25">
      <c r="A53" s="3">
        <v>27</v>
      </c>
      <c r="B53" s="3">
        <v>14.989514288403914</v>
      </c>
      <c r="C53" s="3">
        <v>1.0485711596086134E-2</v>
      </c>
      <c r="D53" s="3">
        <v>6.2685195016981545E-3</v>
      </c>
      <c r="F53" s="3">
        <v>13.25</v>
      </c>
      <c r="G53" s="3">
        <v>8.6999999999999993</v>
      </c>
    </row>
    <row r="54" spans="1:7" x14ac:dyDescent="0.25">
      <c r="A54" s="3">
        <v>28</v>
      </c>
      <c r="B54" s="3">
        <v>17.051673435161675</v>
      </c>
      <c r="C54" s="3">
        <v>-1.1516734351616744</v>
      </c>
      <c r="D54" s="3">
        <v>-0.68848807462846029</v>
      </c>
      <c r="F54" s="3">
        <v>13.75</v>
      </c>
      <c r="G54" s="3">
        <v>8.6999999999999993</v>
      </c>
    </row>
    <row r="55" spans="1:7" x14ac:dyDescent="0.25">
      <c r="A55" s="3">
        <v>29</v>
      </c>
      <c r="B55" s="3">
        <v>19.410538026572961</v>
      </c>
      <c r="C55" s="3">
        <v>-0.51053802657296288</v>
      </c>
      <c r="D55" s="3">
        <v>-0.3052074765365137</v>
      </c>
      <c r="F55" s="3">
        <v>14.25</v>
      </c>
      <c r="G55" s="3">
        <v>8.8000000000000007</v>
      </c>
    </row>
    <row r="56" spans="1:7" x14ac:dyDescent="0.25">
      <c r="A56" s="3">
        <v>30</v>
      </c>
      <c r="B56" s="3">
        <v>9.1440238931687237</v>
      </c>
      <c r="C56" s="3">
        <v>1.3559761068312763</v>
      </c>
      <c r="D56" s="3">
        <v>0.81062335079683734</v>
      </c>
      <c r="F56" s="3">
        <v>14.75</v>
      </c>
      <c r="G56" s="3">
        <v>8.8000000000000007</v>
      </c>
    </row>
    <row r="57" spans="1:7" x14ac:dyDescent="0.25">
      <c r="A57" s="3">
        <v>31</v>
      </c>
      <c r="B57" s="3">
        <v>21.633933802695569</v>
      </c>
      <c r="C57" s="3">
        <v>-0.23393380269557085</v>
      </c>
      <c r="D57" s="3">
        <v>-0.13984922156841939</v>
      </c>
      <c r="F57" s="3">
        <v>15.25</v>
      </c>
      <c r="G57" s="3">
        <v>9.1999999999999993</v>
      </c>
    </row>
    <row r="58" spans="1:7" x14ac:dyDescent="0.25">
      <c r="A58" s="3">
        <v>32</v>
      </c>
      <c r="B58" s="3">
        <v>11.346092904310975</v>
      </c>
      <c r="C58" s="3">
        <v>0.5539070956890253</v>
      </c>
      <c r="D58" s="3">
        <v>0.33113417240577697</v>
      </c>
      <c r="F58" s="3">
        <v>15.75</v>
      </c>
      <c r="G58" s="3">
        <v>9.3000000000000007</v>
      </c>
    </row>
    <row r="59" spans="1:7" x14ac:dyDescent="0.25">
      <c r="A59" s="3">
        <v>33</v>
      </c>
      <c r="B59" s="3">
        <v>7.6388831418270788</v>
      </c>
      <c r="C59" s="3">
        <v>1.9611168581729208</v>
      </c>
      <c r="D59" s="3">
        <v>1.1723857897402528</v>
      </c>
      <c r="F59" s="3">
        <v>16.25</v>
      </c>
      <c r="G59" s="3">
        <v>9.3000000000000007</v>
      </c>
    </row>
    <row r="60" spans="1:7" x14ac:dyDescent="0.25">
      <c r="A60" s="3">
        <v>34</v>
      </c>
      <c r="B60" s="3">
        <v>18.864268292864352</v>
      </c>
      <c r="C60" s="3">
        <v>-1.4642682928643538</v>
      </c>
      <c r="D60" s="3">
        <v>-0.87536208348172728</v>
      </c>
      <c r="F60" s="3">
        <v>16.75</v>
      </c>
      <c r="G60" s="3">
        <v>9.4</v>
      </c>
    </row>
    <row r="61" spans="1:7" x14ac:dyDescent="0.25">
      <c r="A61" s="3">
        <v>35</v>
      </c>
      <c r="B61" s="3">
        <v>7.5748305147121249</v>
      </c>
      <c r="C61" s="3">
        <v>1.9251694852878751</v>
      </c>
      <c r="D61" s="3">
        <v>1.1508958979098467</v>
      </c>
      <c r="F61" s="3">
        <v>17.25</v>
      </c>
      <c r="G61" s="3">
        <v>9.5</v>
      </c>
    </row>
    <row r="62" spans="1:7" x14ac:dyDescent="0.25">
      <c r="A62" s="3">
        <v>36</v>
      </c>
      <c r="B62" s="3">
        <v>17.006826181847078</v>
      </c>
      <c r="C62" s="3">
        <v>-4.2068261818470774</v>
      </c>
      <c r="D62" s="3">
        <v>-2.5149053280280751</v>
      </c>
      <c r="F62" s="3">
        <v>17.75</v>
      </c>
      <c r="G62" s="3">
        <v>9.5</v>
      </c>
    </row>
    <row r="63" spans="1:7" x14ac:dyDescent="0.25">
      <c r="A63" s="3">
        <v>37</v>
      </c>
      <c r="B63" s="3">
        <v>23.405900517309995</v>
      </c>
      <c r="C63" s="3">
        <v>1.9940994826900038</v>
      </c>
      <c r="D63" s="3">
        <v>1.1921033094438935</v>
      </c>
      <c r="F63" s="3">
        <v>18.25</v>
      </c>
      <c r="G63" s="3">
        <v>9.5</v>
      </c>
    </row>
    <row r="64" spans="1:7" x14ac:dyDescent="0.25">
      <c r="A64" s="3">
        <v>38</v>
      </c>
      <c r="B64" s="3">
        <v>15.623477788695743</v>
      </c>
      <c r="C64" s="3">
        <v>-0.92347778869574348</v>
      </c>
      <c r="D64" s="3">
        <v>-0.55206921101902906</v>
      </c>
      <c r="F64" s="3">
        <v>18.75</v>
      </c>
      <c r="G64" s="3">
        <v>9.6</v>
      </c>
    </row>
    <row r="65" spans="1:7" x14ac:dyDescent="0.25">
      <c r="A65" s="3">
        <v>39</v>
      </c>
      <c r="B65" s="3">
        <v>9.9086810345121901</v>
      </c>
      <c r="C65" s="3">
        <v>0.19131896548780958</v>
      </c>
      <c r="D65" s="3">
        <v>0.11437341712246718</v>
      </c>
      <c r="F65" s="3">
        <v>19.25</v>
      </c>
      <c r="G65" s="3">
        <v>9.6</v>
      </c>
    </row>
    <row r="66" spans="1:7" x14ac:dyDescent="0.25">
      <c r="A66" s="3">
        <v>40</v>
      </c>
      <c r="B66" s="3">
        <v>20.447610393747123</v>
      </c>
      <c r="C66" s="3">
        <v>1.052389606252877</v>
      </c>
      <c r="D66" s="3">
        <v>0.6291346762429505</v>
      </c>
      <c r="F66" s="3">
        <v>19.75</v>
      </c>
      <c r="G66" s="3">
        <v>9.6999999999999993</v>
      </c>
    </row>
    <row r="67" spans="1:7" x14ac:dyDescent="0.25">
      <c r="A67" s="3">
        <v>41</v>
      </c>
      <c r="B67" s="3">
        <v>16.37766467131113</v>
      </c>
      <c r="C67" s="3">
        <v>0.22233532868887096</v>
      </c>
      <c r="D67" s="3">
        <v>0.13291547560042277</v>
      </c>
      <c r="F67" s="3">
        <v>20.25</v>
      </c>
      <c r="G67" s="3">
        <v>9.6999999999999993</v>
      </c>
    </row>
    <row r="68" spans="1:7" x14ac:dyDescent="0.25">
      <c r="A68" s="3">
        <v>42</v>
      </c>
      <c r="B68" s="3">
        <v>17.295983199388978</v>
      </c>
      <c r="C68" s="3">
        <v>-0.19598319938897646</v>
      </c>
      <c r="D68" s="3">
        <v>-0.1171617678130259</v>
      </c>
      <c r="F68" s="3">
        <v>20.75</v>
      </c>
      <c r="G68" s="3">
        <v>9.6999999999999993</v>
      </c>
    </row>
    <row r="69" spans="1:7" x14ac:dyDescent="0.25">
      <c r="A69" s="3">
        <v>43</v>
      </c>
      <c r="B69" s="3">
        <v>21.595803256321947</v>
      </c>
      <c r="C69" s="3">
        <v>-0.89580325632194757</v>
      </c>
      <c r="D69" s="3">
        <v>-0.53552495035575953</v>
      </c>
      <c r="F69" s="3">
        <v>21.25</v>
      </c>
      <c r="G69" s="3">
        <v>9.6999999999999993</v>
      </c>
    </row>
    <row r="70" spans="1:7" x14ac:dyDescent="0.25">
      <c r="A70" s="3">
        <v>44</v>
      </c>
      <c r="B70" s="3">
        <v>13.963856839972715</v>
      </c>
      <c r="C70" s="3">
        <v>-1.0638568399727149</v>
      </c>
      <c r="D70" s="3">
        <v>-0.63598996475099656</v>
      </c>
      <c r="F70" s="3">
        <v>21.75</v>
      </c>
      <c r="G70" s="3">
        <v>9.6999999999999993</v>
      </c>
    </row>
    <row r="71" spans="1:7" x14ac:dyDescent="0.25">
      <c r="A71" s="3">
        <v>45</v>
      </c>
      <c r="B71" s="3">
        <v>8.8878799564485256</v>
      </c>
      <c r="C71" s="3">
        <v>-0.38787995644852558</v>
      </c>
      <c r="D71" s="3">
        <v>-0.23188059761465907</v>
      </c>
      <c r="F71" s="3">
        <v>22.25</v>
      </c>
      <c r="G71" s="3">
        <v>9.9</v>
      </c>
    </row>
    <row r="72" spans="1:7" x14ac:dyDescent="0.25">
      <c r="A72" s="3">
        <v>46</v>
      </c>
      <c r="B72" s="3">
        <v>15.161523138521126</v>
      </c>
      <c r="C72" s="3">
        <v>-0.26152313852112563</v>
      </c>
      <c r="D72" s="3">
        <v>-0.15634255042613299</v>
      </c>
      <c r="F72" s="3">
        <v>22.75</v>
      </c>
      <c r="G72" s="3">
        <v>10.1</v>
      </c>
    </row>
    <row r="73" spans="1:7" x14ac:dyDescent="0.25">
      <c r="A73" s="3">
        <v>47</v>
      </c>
      <c r="B73" s="3">
        <v>8.8733867326823983</v>
      </c>
      <c r="C73" s="3">
        <v>1.7266132673176013</v>
      </c>
      <c r="D73" s="3">
        <v>1.0321959400553253</v>
      </c>
      <c r="F73" s="3">
        <v>23.25</v>
      </c>
      <c r="G73" s="3">
        <v>10.1</v>
      </c>
    </row>
    <row r="74" spans="1:7" x14ac:dyDescent="0.25">
      <c r="A74" s="3">
        <v>48</v>
      </c>
      <c r="B74" s="3">
        <v>21.722629895028959</v>
      </c>
      <c r="C74" s="3">
        <v>1.4773701049710404</v>
      </c>
      <c r="D74" s="3">
        <v>0.88319454806419828</v>
      </c>
      <c r="F74" s="3">
        <v>23.75</v>
      </c>
      <c r="G74" s="3">
        <v>10.1</v>
      </c>
    </row>
    <row r="75" spans="1:7" x14ac:dyDescent="0.25">
      <c r="A75" s="3">
        <v>49</v>
      </c>
      <c r="B75" s="3">
        <v>16.263620181413803</v>
      </c>
      <c r="C75" s="3">
        <v>-1.4636201814138019</v>
      </c>
      <c r="D75" s="3">
        <v>-0.87497463249856511</v>
      </c>
      <c r="F75" s="3">
        <v>24.25</v>
      </c>
      <c r="G75" s="3">
        <v>10.3</v>
      </c>
    </row>
    <row r="76" spans="1:7" x14ac:dyDescent="0.25">
      <c r="A76" s="3">
        <v>50</v>
      </c>
      <c r="B76" s="3">
        <v>8.1681656044053774</v>
      </c>
      <c r="C76" s="3">
        <v>1.5318343955946219</v>
      </c>
      <c r="D76" s="3">
        <v>0.91575413782513637</v>
      </c>
      <c r="F76" s="3">
        <v>24.75</v>
      </c>
      <c r="G76" s="3">
        <v>10.3</v>
      </c>
    </row>
    <row r="77" spans="1:7" x14ac:dyDescent="0.25">
      <c r="A77" s="3">
        <v>51</v>
      </c>
      <c r="B77" s="3">
        <v>12.631211324624605</v>
      </c>
      <c r="C77" s="3">
        <v>-1.2312113246246046</v>
      </c>
      <c r="D77" s="3">
        <v>-0.7360370470232751</v>
      </c>
      <c r="F77" s="3">
        <v>25.25</v>
      </c>
      <c r="G77" s="3">
        <v>10.4</v>
      </c>
    </row>
    <row r="78" spans="1:7" x14ac:dyDescent="0.25">
      <c r="A78" s="3">
        <v>52</v>
      </c>
      <c r="B78" s="3">
        <v>9.3398129606431795</v>
      </c>
      <c r="C78" s="3">
        <v>1.3601870393568198</v>
      </c>
      <c r="D78" s="3">
        <v>0.81314071096021978</v>
      </c>
      <c r="F78" s="3">
        <v>25.75</v>
      </c>
      <c r="G78" s="3">
        <v>10.4</v>
      </c>
    </row>
    <row r="79" spans="1:7" x14ac:dyDescent="0.25">
      <c r="A79" s="3">
        <v>53</v>
      </c>
      <c r="B79" s="3">
        <v>20.662975627014507</v>
      </c>
      <c r="C79" s="3">
        <v>1.9370243729854941</v>
      </c>
      <c r="D79" s="3">
        <v>1.1579829319219881</v>
      </c>
      <c r="F79" s="3">
        <v>26.25</v>
      </c>
      <c r="G79" s="3">
        <v>10.5</v>
      </c>
    </row>
    <row r="80" spans="1:7" x14ac:dyDescent="0.25">
      <c r="A80" s="3">
        <v>54</v>
      </c>
      <c r="B80" s="3">
        <v>19.944699569642697</v>
      </c>
      <c r="C80" s="3">
        <v>1.2553004303573019</v>
      </c>
      <c r="D80" s="3">
        <v>0.75043788455157834</v>
      </c>
      <c r="F80" s="3">
        <v>26.75</v>
      </c>
      <c r="G80" s="3">
        <v>10.5</v>
      </c>
    </row>
    <row r="81" spans="1:7" x14ac:dyDescent="0.25">
      <c r="A81" s="3">
        <v>55</v>
      </c>
      <c r="B81" s="3">
        <v>20.374430078461266</v>
      </c>
      <c r="C81" s="3">
        <v>-0.1744300784612669</v>
      </c>
      <c r="D81" s="3">
        <v>-0.10427698096572835</v>
      </c>
      <c r="F81" s="3">
        <v>27.25</v>
      </c>
      <c r="G81" s="3">
        <v>10.6</v>
      </c>
    </row>
    <row r="82" spans="1:7" x14ac:dyDescent="0.25">
      <c r="A82" s="3">
        <v>56</v>
      </c>
      <c r="B82" s="3">
        <v>21.292610603748713</v>
      </c>
      <c r="C82" s="3">
        <v>2.4073893962512862</v>
      </c>
      <c r="D82" s="3">
        <v>1.4391743698363084</v>
      </c>
      <c r="F82" s="3">
        <v>27.75</v>
      </c>
      <c r="G82" s="3">
        <v>10.6</v>
      </c>
    </row>
    <row r="83" spans="1:7" x14ac:dyDescent="0.25">
      <c r="A83" s="3">
        <v>57</v>
      </c>
      <c r="B83" s="3">
        <v>8.5277125447268425</v>
      </c>
      <c r="C83" s="3">
        <v>-3.0277125447268425</v>
      </c>
      <c r="D83" s="3">
        <v>-1.8100130790589841</v>
      </c>
      <c r="F83" s="3">
        <v>28.25</v>
      </c>
      <c r="G83" s="3">
        <v>10.6</v>
      </c>
    </row>
    <row r="84" spans="1:7" x14ac:dyDescent="0.25">
      <c r="A84" s="3">
        <v>58</v>
      </c>
      <c r="B84" s="3">
        <v>12.774588020808983</v>
      </c>
      <c r="C84" s="3">
        <v>0.4254119791910167</v>
      </c>
      <c r="D84" s="3">
        <v>0.254317817477477</v>
      </c>
      <c r="F84" s="3">
        <v>28.75</v>
      </c>
      <c r="G84" s="3">
        <v>10.7</v>
      </c>
    </row>
    <row r="85" spans="1:7" x14ac:dyDescent="0.25">
      <c r="A85" s="3">
        <v>59</v>
      </c>
      <c r="B85" s="3">
        <v>21.898051982898803</v>
      </c>
      <c r="C85" s="3">
        <v>1.9019480171011978</v>
      </c>
      <c r="D85" s="3">
        <v>1.1370137474375237</v>
      </c>
      <c r="F85" s="3">
        <v>29.25</v>
      </c>
      <c r="G85" s="3">
        <v>10.8</v>
      </c>
    </row>
    <row r="86" spans="1:7" x14ac:dyDescent="0.25">
      <c r="A86" s="3">
        <v>60</v>
      </c>
      <c r="B86" s="3">
        <v>18.13348698070368</v>
      </c>
      <c r="C86" s="3">
        <v>0.26651301929631899</v>
      </c>
      <c r="D86" s="3">
        <v>0.15932557782144333</v>
      </c>
      <c r="F86" s="3">
        <v>29.75</v>
      </c>
      <c r="G86" s="3">
        <v>10.8</v>
      </c>
    </row>
    <row r="87" spans="1:7" x14ac:dyDescent="0.25">
      <c r="A87" s="3">
        <v>61</v>
      </c>
      <c r="B87" s="3">
        <v>5.7421555840506038</v>
      </c>
      <c r="C87" s="3">
        <v>2.3578444159493959</v>
      </c>
      <c r="D87" s="3">
        <v>1.4095556193692849</v>
      </c>
      <c r="F87" s="3">
        <v>30.25</v>
      </c>
      <c r="G87" s="3">
        <v>10.9</v>
      </c>
    </row>
    <row r="88" spans="1:7" x14ac:dyDescent="0.25">
      <c r="A88" s="3">
        <v>62</v>
      </c>
      <c r="B88" s="3">
        <v>22.890672079938675</v>
      </c>
      <c r="C88" s="3">
        <v>1.3093279200613246</v>
      </c>
      <c r="D88" s="3">
        <v>0.78273634801149983</v>
      </c>
      <c r="F88" s="3">
        <v>30.75</v>
      </c>
      <c r="G88" s="3">
        <v>10.9</v>
      </c>
    </row>
    <row r="89" spans="1:7" x14ac:dyDescent="0.25">
      <c r="A89" s="3">
        <v>63</v>
      </c>
      <c r="B89" s="3">
        <v>16.78426072910862</v>
      </c>
      <c r="C89" s="3">
        <v>-1.084260729108621</v>
      </c>
      <c r="D89" s="3">
        <v>-0.64818772317558027</v>
      </c>
      <c r="F89" s="3">
        <v>31.25</v>
      </c>
      <c r="G89" s="3">
        <v>11</v>
      </c>
    </row>
    <row r="90" spans="1:7" x14ac:dyDescent="0.25">
      <c r="A90" s="3">
        <v>64</v>
      </c>
      <c r="B90" s="3">
        <v>13.210692016950794</v>
      </c>
      <c r="C90" s="3">
        <v>0.78930798304920557</v>
      </c>
      <c r="D90" s="3">
        <v>0.47186043972797992</v>
      </c>
      <c r="F90" s="3">
        <v>31.75</v>
      </c>
      <c r="G90" s="3">
        <v>11</v>
      </c>
    </row>
    <row r="91" spans="1:7" x14ac:dyDescent="0.25">
      <c r="A91" s="3">
        <v>65</v>
      </c>
      <c r="B91" s="3">
        <v>16.977735563833615</v>
      </c>
      <c r="C91" s="3">
        <v>1.0222644361663846</v>
      </c>
      <c r="D91" s="3">
        <v>0.61112538670177741</v>
      </c>
      <c r="F91" s="3">
        <v>32.25</v>
      </c>
      <c r="G91" s="3">
        <v>11.2</v>
      </c>
    </row>
    <row r="92" spans="1:7" x14ac:dyDescent="0.25">
      <c r="A92" s="3">
        <v>66</v>
      </c>
      <c r="B92" s="3">
        <v>7.8490453194829195</v>
      </c>
      <c r="C92" s="3">
        <v>1.4509546805170812</v>
      </c>
      <c r="D92" s="3">
        <v>0.86740300146119198</v>
      </c>
      <c r="F92" s="3">
        <v>32.75</v>
      </c>
      <c r="G92" s="3">
        <v>11.3</v>
      </c>
    </row>
    <row r="93" spans="1:7" x14ac:dyDescent="0.25">
      <c r="A93" s="3">
        <v>67</v>
      </c>
      <c r="B93" s="3">
        <v>9.0160316327988195</v>
      </c>
      <c r="C93" s="3">
        <v>0.48396836720118053</v>
      </c>
      <c r="D93" s="3">
        <v>0.28932372592986327</v>
      </c>
      <c r="F93" s="3">
        <v>33.25</v>
      </c>
      <c r="G93" s="3">
        <v>11.3</v>
      </c>
    </row>
    <row r="94" spans="1:7" x14ac:dyDescent="0.25">
      <c r="A94" s="3">
        <v>68</v>
      </c>
      <c r="B94" s="3">
        <v>12.037007297677002</v>
      </c>
      <c r="C94" s="3">
        <v>1.3629927023229982</v>
      </c>
      <c r="D94" s="3">
        <v>0.81481797938950273</v>
      </c>
      <c r="F94" s="3">
        <v>33.75</v>
      </c>
      <c r="G94" s="3">
        <v>11.4</v>
      </c>
    </row>
    <row r="95" spans="1:7" x14ac:dyDescent="0.25">
      <c r="A95" s="3">
        <v>69</v>
      </c>
      <c r="B95" s="3">
        <v>18.976579242354177</v>
      </c>
      <c r="C95" s="3">
        <v>-7.6579242354178234E-2</v>
      </c>
      <c r="D95" s="3">
        <v>-4.5780247694549726E-2</v>
      </c>
      <c r="F95" s="3">
        <v>34.25</v>
      </c>
      <c r="G95" s="3">
        <v>11.4</v>
      </c>
    </row>
    <row r="96" spans="1:7" x14ac:dyDescent="0.25">
      <c r="A96" s="3">
        <v>70</v>
      </c>
      <c r="B96" s="3">
        <v>21.108912436143427</v>
      </c>
      <c r="C96" s="3">
        <v>1.1910875638565734</v>
      </c>
      <c r="D96" s="3">
        <v>0.71205044634757519</v>
      </c>
      <c r="F96" s="3">
        <v>34.75</v>
      </c>
      <c r="G96" s="3">
        <v>11.5</v>
      </c>
    </row>
    <row r="97" spans="1:7" x14ac:dyDescent="0.25">
      <c r="A97" s="3">
        <v>71</v>
      </c>
      <c r="B97" s="3">
        <v>17.779497816582293</v>
      </c>
      <c r="C97" s="3">
        <v>0.52050218341770815</v>
      </c>
      <c r="D97" s="3">
        <v>0.31116420259434069</v>
      </c>
      <c r="F97" s="3">
        <v>35.25</v>
      </c>
      <c r="G97" s="3">
        <v>11.5</v>
      </c>
    </row>
    <row r="98" spans="1:7" x14ac:dyDescent="0.25">
      <c r="A98" s="3">
        <v>72</v>
      </c>
      <c r="B98" s="3">
        <v>10.626938152945893</v>
      </c>
      <c r="C98" s="3">
        <v>1.7730618470541071</v>
      </c>
      <c r="D98" s="3">
        <v>1.0599636146891716</v>
      </c>
      <c r="F98" s="3">
        <v>35.75</v>
      </c>
      <c r="G98" s="3">
        <v>11.6</v>
      </c>
    </row>
    <row r="99" spans="1:7" x14ac:dyDescent="0.25">
      <c r="A99" s="3">
        <v>73</v>
      </c>
      <c r="B99" s="3">
        <v>10.366848810245022</v>
      </c>
      <c r="C99" s="3">
        <v>-1.5668488102450215</v>
      </c>
      <c r="D99" s="3">
        <v>-0.93668629288827032</v>
      </c>
      <c r="F99" s="3">
        <v>36.25</v>
      </c>
      <c r="G99" s="3">
        <v>11.6</v>
      </c>
    </row>
    <row r="100" spans="1:7" x14ac:dyDescent="0.25">
      <c r="A100" s="3">
        <v>74</v>
      </c>
      <c r="B100" s="3">
        <v>9.9029820555921209</v>
      </c>
      <c r="C100" s="3">
        <v>1.0970179444078791</v>
      </c>
      <c r="D100" s="3">
        <v>0.65581418249195234</v>
      </c>
      <c r="F100" s="3">
        <v>36.75</v>
      </c>
      <c r="G100" s="3">
        <v>11.6</v>
      </c>
    </row>
    <row r="101" spans="1:7" x14ac:dyDescent="0.25">
      <c r="A101" s="3">
        <v>75</v>
      </c>
      <c r="B101" s="3">
        <v>17.329311966972643</v>
      </c>
      <c r="C101" s="3">
        <v>-0.32931196697264298</v>
      </c>
      <c r="D101" s="3">
        <v>-0.19686775362781339</v>
      </c>
      <c r="F101" s="3">
        <v>37.25</v>
      </c>
      <c r="G101" s="3">
        <v>11.7</v>
      </c>
    </row>
    <row r="102" spans="1:7" x14ac:dyDescent="0.25">
      <c r="A102" s="3">
        <v>76</v>
      </c>
      <c r="B102" s="3">
        <v>11.858321738983788</v>
      </c>
      <c r="C102" s="3">
        <v>-3.1583217389837888</v>
      </c>
      <c r="D102" s="3">
        <v>-1.8880932621536961</v>
      </c>
      <c r="F102" s="3">
        <v>37.75</v>
      </c>
      <c r="G102" s="3">
        <v>11.7</v>
      </c>
    </row>
    <row r="103" spans="1:7" x14ac:dyDescent="0.25">
      <c r="A103" s="3">
        <v>77</v>
      </c>
      <c r="B103" s="3">
        <v>4.4775890405727177</v>
      </c>
      <c r="C103" s="3">
        <v>2.4224109594272827</v>
      </c>
      <c r="D103" s="3">
        <v>1.4481544911043653</v>
      </c>
      <c r="F103" s="3">
        <v>38.25</v>
      </c>
      <c r="G103" s="3">
        <v>11.7</v>
      </c>
    </row>
    <row r="104" spans="1:7" x14ac:dyDescent="0.25">
      <c r="A104" s="3">
        <v>78</v>
      </c>
      <c r="B104" s="3">
        <v>13.811902227800482</v>
      </c>
      <c r="C104" s="3">
        <v>0.38809777219951691</v>
      </c>
      <c r="D104" s="3">
        <v>0.23201081121727007</v>
      </c>
      <c r="F104" s="3">
        <v>38.75</v>
      </c>
      <c r="G104" s="3">
        <v>11.7</v>
      </c>
    </row>
    <row r="105" spans="1:7" x14ac:dyDescent="0.25">
      <c r="A105" s="3">
        <v>79</v>
      </c>
      <c r="B105" s="3">
        <v>8.8133135261735962</v>
      </c>
      <c r="C105" s="3">
        <v>-3.5133135261735964</v>
      </c>
      <c r="D105" s="3">
        <v>-2.1003128068694394</v>
      </c>
      <c r="F105" s="3">
        <v>39.25</v>
      </c>
      <c r="G105" s="3">
        <v>11.8</v>
      </c>
    </row>
    <row r="106" spans="1:7" x14ac:dyDescent="0.25">
      <c r="A106" s="3">
        <v>80</v>
      </c>
      <c r="B106" s="3">
        <v>9.6753032832745074</v>
      </c>
      <c r="C106" s="3">
        <v>1.3246967167254926</v>
      </c>
      <c r="D106" s="3">
        <v>0.7919240507939157</v>
      </c>
      <c r="F106" s="3">
        <v>39.75</v>
      </c>
      <c r="G106" s="3">
        <v>11.8</v>
      </c>
    </row>
    <row r="107" spans="1:7" x14ac:dyDescent="0.25">
      <c r="A107" s="3">
        <v>81</v>
      </c>
      <c r="B107" s="3">
        <v>11.445923639120625</v>
      </c>
      <c r="C107" s="3">
        <v>0.35407636087937533</v>
      </c>
      <c r="D107" s="3">
        <v>0.21167228880213859</v>
      </c>
      <c r="F107" s="3">
        <v>40.25</v>
      </c>
      <c r="G107" s="3">
        <v>11.8</v>
      </c>
    </row>
    <row r="108" spans="1:7" x14ac:dyDescent="0.25">
      <c r="A108" s="3">
        <v>82</v>
      </c>
      <c r="B108" s="3">
        <v>14.647940925761016</v>
      </c>
      <c r="C108" s="3">
        <v>-2.3479409257610158</v>
      </c>
      <c r="D108" s="3">
        <v>-1.4036351607707565</v>
      </c>
      <c r="F108" s="3">
        <v>40.75</v>
      </c>
      <c r="G108" s="3">
        <v>11.9</v>
      </c>
    </row>
    <row r="109" spans="1:7" x14ac:dyDescent="0.25">
      <c r="A109" s="3">
        <v>83</v>
      </c>
      <c r="B109" s="3">
        <v>10.178407991809921</v>
      </c>
      <c r="C109" s="3">
        <v>1.1215920081900794</v>
      </c>
      <c r="D109" s="3">
        <v>0.67050493539347156</v>
      </c>
      <c r="F109" s="3">
        <v>41.25</v>
      </c>
      <c r="G109" s="3">
        <v>11.9</v>
      </c>
    </row>
    <row r="110" spans="1:7" x14ac:dyDescent="0.25">
      <c r="A110" s="3">
        <v>84</v>
      </c>
      <c r="B110" s="3">
        <v>14.421842119156549</v>
      </c>
      <c r="C110" s="3">
        <v>-0.8218421191565497</v>
      </c>
      <c r="D110" s="3">
        <v>-0.49130984616939982</v>
      </c>
      <c r="F110" s="3">
        <v>41.75</v>
      </c>
      <c r="G110" s="3">
        <v>11.9</v>
      </c>
    </row>
    <row r="111" spans="1:7" x14ac:dyDescent="0.25">
      <c r="A111" s="3">
        <v>85</v>
      </c>
      <c r="B111" s="3">
        <v>20.781364636833885</v>
      </c>
      <c r="C111" s="3">
        <v>0.91863536316611416</v>
      </c>
      <c r="D111" s="3">
        <v>0.54917433463511889</v>
      </c>
      <c r="F111" s="3">
        <v>42.25</v>
      </c>
      <c r="G111" s="3">
        <v>12</v>
      </c>
    </row>
    <row r="112" spans="1:7" x14ac:dyDescent="0.25">
      <c r="A112" s="3">
        <v>86</v>
      </c>
      <c r="B112" s="3">
        <v>15.181407889846495</v>
      </c>
      <c r="C112" s="3">
        <v>1.8592110153504038E-2</v>
      </c>
      <c r="D112" s="3">
        <v>1.111464911150728E-2</v>
      </c>
      <c r="F112" s="3">
        <v>42.75</v>
      </c>
      <c r="G112" s="3">
        <v>12</v>
      </c>
    </row>
    <row r="113" spans="1:7" x14ac:dyDescent="0.25">
      <c r="A113" s="3">
        <v>87</v>
      </c>
      <c r="B113" s="3">
        <v>11.59870739427725</v>
      </c>
      <c r="C113" s="3">
        <v>0.40129260572274994</v>
      </c>
      <c r="D113" s="3">
        <v>0.23989888543179641</v>
      </c>
      <c r="F113" s="3">
        <v>43.25</v>
      </c>
      <c r="G113" s="3">
        <v>12.2</v>
      </c>
    </row>
    <row r="114" spans="1:7" x14ac:dyDescent="0.25">
      <c r="A114" s="3">
        <v>88</v>
      </c>
      <c r="B114" s="3">
        <v>15.593784747966524</v>
      </c>
      <c r="C114" s="3">
        <v>0.4062152520334763</v>
      </c>
      <c r="D114" s="3">
        <v>0.24284171903121263</v>
      </c>
      <c r="F114" s="3">
        <v>43.75</v>
      </c>
      <c r="G114" s="3">
        <v>12.2</v>
      </c>
    </row>
    <row r="115" spans="1:7" x14ac:dyDescent="0.25">
      <c r="A115" s="3">
        <v>89</v>
      </c>
      <c r="B115" s="3">
        <v>11.711271005267474</v>
      </c>
      <c r="C115" s="3">
        <v>1.1887289947325268</v>
      </c>
      <c r="D115" s="3">
        <v>0.71064045748657045</v>
      </c>
      <c r="F115" s="3">
        <v>44.25</v>
      </c>
      <c r="G115" s="3">
        <v>12.2</v>
      </c>
    </row>
    <row r="116" spans="1:7" x14ac:dyDescent="0.25">
      <c r="A116" s="3">
        <v>90</v>
      </c>
      <c r="B116" s="3">
        <v>16.922255106768954</v>
      </c>
      <c r="C116" s="3">
        <v>-0.2222551067689551</v>
      </c>
      <c r="D116" s="3">
        <v>-0.13286751770411331</v>
      </c>
      <c r="F116" s="3">
        <v>44.75</v>
      </c>
      <c r="G116" s="3">
        <v>12.3</v>
      </c>
    </row>
    <row r="117" spans="1:7" x14ac:dyDescent="0.25">
      <c r="A117" s="3">
        <v>91</v>
      </c>
      <c r="B117" s="3">
        <v>9.9992296517234802</v>
      </c>
      <c r="C117" s="3">
        <v>1.2007703482765191</v>
      </c>
      <c r="D117" s="3">
        <v>0.71783896364666089</v>
      </c>
      <c r="F117" s="3">
        <v>45.25</v>
      </c>
      <c r="G117" s="3">
        <v>12.4</v>
      </c>
    </row>
    <row r="118" spans="1:7" x14ac:dyDescent="0.25">
      <c r="A118" s="3">
        <v>92</v>
      </c>
      <c r="B118" s="3">
        <v>4.4963159844593772</v>
      </c>
      <c r="C118" s="3">
        <v>2.8036840155406226</v>
      </c>
      <c r="D118" s="3">
        <v>1.6760853821857697</v>
      </c>
      <c r="F118" s="3">
        <v>45.75</v>
      </c>
      <c r="G118" s="3">
        <v>12.5</v>
      </c>
    </row>
    <row r="119" spans="1:7" x14ac:dyDescent="0.25">
      <c r="A119" s="3">
        <v>93</v>
      </c>
      <c r="B119" s="3">
        <v>19.156396162353211</v>
      </c>
      <c r="C119" s="3">
        <v>0.24360383764678772</v>
      </c>
      <c r="D119" s="3">
        <v>0.14563011703920758</v>
      </c>
      <c r="F119" s="3">
        <v>46.25</v>
      </c>
      <c r="G119" s="3">
        <v>12.5</v>
      </c>
    </row>
    <row r="120" spans="1:7" x14ac:dyDescent="0.25">
      <c r="A120" s="3">
        <v>94</v>
      </c>
      <c r="B120" s="3">
        <v>21.22757378476209</v>
      </c>
      <c r="C120" s="3">
        <v>0.97242621523790973</v>
      </c>
      <c r="D120" s="3">
        <v>0.58133133248263447</v>
      </c>
      <c r="F120" s="3">
        <v>46.75</v>
      </c>
      <c r="G120" s="3">
        <v>12.6</v>
      </c>
    </row>
    <row r="121" spans="1:7" x14ac:dyDescent="0.25">
      <c r="A121" s="3">
        <v>95</v>
      </c>
      <c r="B121" s="3">
        <v>10.482123854060985</v>
      </c>
      <c r="C121" s="3">
        <v>1.0178761459390149</v>
      </c>
      <c r="D121" s="3">
        <v>0.60850199937919969</v>
      </c>
      <c r="F121" s="3">
        <v>47.25</v>
      </c>
      <c r="G121" s="3">
        <v>12.6</v>
      </c>
    </row>
    <row r="122" spans="1:7" x14ac:dyDescent="0.25">
      <c r="A122" s="3">
        <v>96</v>
      </c>
      <c r="B122" s="3">
        <v>16.3149211249941</v>
      </c>
      <c r="C122" s="3">
        <v>0.58507887500589817</v>
      </c>
      <c r="D122" s="3">
        <v>0.34976914102568291</v>
      </c>
      <c r="F122" s="3">
        <v>47.75</v>
      </c>
      <c r="G122" s="3">
        <v>12.7</v>
      </c>
    </row>
    <row r="123" spans="1:7" x14ac:dyDescent="0.25">
      <c r="A123" s="3">
        <v>97</v>
      </c>
      <c r="B123" s="3">
        <v>12.63571716170908</v>
      </c>
      <c r="C123" s="3">
        <v>-0.93571716170908026</v>
      </c>
      <c r="D123" s="3">
        <v>-0.55938609626039848</v>
      </c>
      <c r="F123" s="3">
        <v>48.25</v>
      </c>
      <c r="G123" s="3">
        <v>12.8</v>
      </c>
    </row>
    <row r="124" spans="1:7" x14ac:dyDescent="0.25">
      <c r="A124" s="3">
        <v>98</v>
      </c>
      <c r="B124" s="3">
        <v>15.337077822510238</v>
      </c>
      <c r="C124" s="3">
        <v>0.16292217748976157</v>
      </c>
      <c r="D124" s="3">
        <v>9.7397380949796358E-2</v>
      </c>
      <c r="F124" s="3">
        <v>48.75</v>
      </c>
      <c r="G124" s="3">
        <v>12.8</v>
      </c>
    </row>
    <row r="125" spans="1:7" x14ac:dyDescent="0.25">
      <c r="A125" s="3">
        <v>99</v>
      </c>
      <c r="B125" s="3">
        <v>24.118607229753348</v>
      </c>
      <c r="C125" s="3">
        <v>1.2813927702466508</v>
      </c>
      <c r="D125" s="3">
        <v>0.76603628623777109</v>
      </c>
      <c r="F125" s="3">
        <v>49.25</v>
      </c>
      <c r="G125" s="3">
        <v>12.9</v>
      </c>
    </row>
    <row r="126" spans="1:7" x14ac:dyDescent="0.25">
      <c r="A126" s="3">
        <v>100</v>
      </c>
      <c r="B126" s="3">
        <v>16.940350209868626</v>
      </c>
      <c r="C126" s="3">
        <v>0.25964979013137324</v>
      </c>
      <c r="D126" s="3">
        <v>0.15522263397534858</v>
      </c>
      <c r="F126" s="3">
        <v>49.75</v>
      </c>
      <c r="G126" s="3">
        <v>12.9</v>
      </c>
    </row>
    <row r="127" spans="1:7" x14ac:dyDescent="0.25">
      <c r="A127" s="3">
        <v>101</v>
      </c>
      <c r="B127" s="3">
        <v>13.875958437972796</v>
      </c>
      <c r="C127" s="3">
        <v>-2.1759584379727972</v>
      </c>
      <c r="D127" s="3">
        <v>-1.3008213871158132</v>
      </c>
      <c r="F127" s="3">
        <v>50.25</v>
      </c>
      <c r="G127" s="3">
        <v>12.9</v>
      </c>
    </row>
    <row r="128" spans="1:7" x14ac:dyDescent="0.25">
      <c r="A128" s="3">
        <v>102</v>
      </c>
      <c r="B128" s="3">
        <v>23.242486848584214</v>
      </c>
      <c r="C128" s="3">
        <v>0.55751315141578672</v>
      </c>
      <c r="D128" s="3">
        <v>0.33328992792511164</v>
      </c>
      <c r="F128" s="3">
        <v>50.75</v>
      </c>
      <c r="G128" s="3">
        <v>12.9</v>
      </c>
    </row>
    <row r="129" spans="1:7" x14ac:dyDescent="0.25">
      <c r="A129" s="3">
        <v>103</v>
      </c>
      <c r="B129" s="3">
        <v>17.644093845826685</v>
      </c>
      <c r="C129" s="3">
        <v>-2.8440938458266842</v>
      </c>
      <c r="D129" s="3">
        <v>-1.7002429996147135</v>
      </c>
      <c r="F129" s="3">
        <v>51.25</v>
      </c>
      <c r="G129" s="3">
        <v>13.2</v>
      </c>
    </row>
    <row r="130" spans="1:7" x14ac:dyDescent="0.25">
      <c r="A130" s="3">
        <v>104</v>
      </c>
      <c r="B130" s="3">
        <v>14.762211416061408</v>
      </c>
      <c r="C130" s="3">
        <v>-6.2211416061408897E-2</v>
      </c>
      <c r="D130" s="3">
        <v>-3.7190940379741112E-2</v>
      </c>
      <c r="F130" s="3">
        <v>51.75</v>
      </c>
      <c r="G130" s="3">
        <v>13.2</v>
      </c>
    </row>
    <row r="131" spans="1:7" x14ac:dyDescent="0.25">
      <c r="A131" s="3">
        <v>105</v>
      </c>
      <c r="B131" s="3">
        <v>20.301108784104397</v>
      </c>
      <c r="C131" s="3">
        <v>0.39889121589560261</v>
      </c>
      <c r="D131" s="3">
        <v>0.23846329769655186</v>
      </c>
      <c r="F131" s="3">
        <v>52.25</v>
      </c>
      <c r="G131" s="3">
        <v>13.2</v>
      </c>
    </row>
    <row r="132" spans="1:7" x14ac:dyDescent="0.25">
      <c r="A132" s="3">
        <v>106</v>
      </c>
      <c r="B132" s="3">
        <v>17.936414673257321</v>
      </c>
      <c r="C132" s="3">
        <v>1.2635853267426782</v>
      </c>
      <c r="D132" s="3">
        <v>0.75539072290550224</v>
      </c>
      <c r="F132" s="3">
        <v>52.75</v>
      </c>
      <c r="G132" s="3">
        <v>13.3</v>
      </c>
    </row>
    <row r="133" spans="1:7" x14ac:dyDescent="0.25">
      <c r="A133" s="3">
        <v>107</v>
      </c>
      <c r="B133" s="3">
        <v>6.1260221485830586</v>
      </c>
      <c r="C133" s="3">
        <v>1.0739778514169416</v>
      </c>
      <c r="D133" s="3">
        <v>0.6420404608984136</v>
      </c>
      <c r="F133" s="3">
        <v>53.25</v>
      </c>
      <c r="G133" s="3">
        <v>13.4</v>
      </c>
    </row>
    <row r="134" spans="1:7" x14ac:dyDescent="0.25">
      <c r="A134" s="3">
        <v>108</v>
      </c>
      <c r="B134" s="3">
        <v>7.108502485117369</v>
      </c>
      <c r="C134" s="3">
        <v>1.5914975148826302</v>
      </c>
      <c r="D134" s="3">
        <v>0.95142166723998522</v>
      </c>
      <c r="F134" s="3">
        <v>53.75</v>
      </c>
      <c r="G134" s="3">
        <v>13.4</v>
      </c>
    </row>
    <row r="135" spans="1:7" x14ac:dyDescent="0.25">
      <c r="A135" s="3">
        <v>109</v>
      </c>
      <c r="B135" s="3">
        <v>3.5872584098050151</v>
      </c>
      <c r="C135" s="3">
        <v>1.7127415901949847</v>
      </c>
      <c r="D135" s="3">
        <v>1.023903238337605</v>
      </c>
      <c r="F135" s="3">
        <v>54.25</v>
      </c>
      <c r="G135" s="3">
        <v>13.4</v>
      </c>
    </row>
    <row r="136" spans="1:7" x14ac:dyDescent="0.25">
      <c r="A136" s="3">
        <v>110</v>
      </c>
      <c r="B136" s="3">
        <v>19.692931062134029</v>
      </c>
      <c r="C136" s="3">
        <v>0.10706893786597149</v>
      </c>
      <c r="D136" s="3">
        <v>6.4007456135782612E-2</v>
      </c>
      <c r="F136" s="3">
        <v>54.75</v>
      </c>
      <c r="G136" s="3">
        <v>13.6</v>
      </c>
    </row>
    <row r="137" spans="1:7" x14ac:dyDescent="0.25">
      <c r="A137" s="3">
        <v>111</v>
      </c>
      <c r="B137" s="3">
        <v>14.759874095117553</v>
      </c>
      <c r="C137" s="3">
        <v>-1.3598740951175525</v>
      </c>
      <c r="D137" s="3">
        <v>-0.81295362808569904</v>
      </c>
      <c r="F137" s="3">
        <v>55.25</v>
      </c>
      <c r="G137" s="3">
        <v>14</v>
      </c>
    </row>
    <row r="138" spans="1:7" x14ac:dyDescent="0.25">
      <c r="A138" s="3">
        <v>112</v>
      </c>
      <c r="B138" s="3">
        <v>21.14027498033532</v>
      </c>
      <c r="C138" s="3">
        <v>0.65972501966468045</v>
      </c>
      <c r="D138" s="3">
        <v>0.39439375321650577</v>
      </c>
      <c r="F138" s="3">
        <v>55.75</v>
      </c>
      <c r="G138" s="3">
        <v>14.1</v>
      </c>
    </row>
    <row r="139" spans="1:7" x14ac:dyDescent="0.25">
      <c r="A139" s="3">
        <v>113</v>
      </c>
      <c r="B139" s="3">
        <v>13.880609853211171</v>
      </c>
      <c r="C139" s="3">
        <v>0.21939014678882884</v>
      </c>
      <c r="D139" s="3">
        <v>0.1311548006088129</v>
      </c>
      <c r="F139" s="3">
        <v>56.25</v>
      </c>
      <c r="G139" s="3">
        <v>14.2</v>
      </c>
    </row>
    <row r="140" spans="1:7" x14ac:dyDescent="0.25">
      <c r="A140" s="3">
        <v>114</v>
      </c>
      <c r="B140" s="3">
        <v>16.403776229871259</v>
      </c>
      <c r="C140" s="3">
        <v>-0.50377622987125825</v>
      </c>
      <c r="D140" s="3">
        <v>-0.30116517057542141</v>
      </c>
      <c r="F140" s="3">
        <v>56.75</v>
      </c>
      <c r="G140" s="3">
        <v>14.4</v>
      </c>
    </row>
    <row r="141" spans="1:7" x14ac:dyDescent="0.25">
      <c r="A141" s="3">
        <v>115</v>
      </c>
      <c r="B141" s="3">
        <v>15.305095925878035</v>
      </c>
      <c r="C141" s="3">
        <v>-0.7050959258780356</v>
      </c>
      <c r="D141" s="3">
        <v>-0.42151717806010841</v>
      </c>
      <c r="F141" s="3">
        <v>57.25</v>
      </c>
      <c r="G141" s="3">
        <v>14.5</v>
      </c>
    </row>
    <row r="142" spans="1:7" x14ac:dyDescent="0.25">
      <c r="A142" s="3">
        <v>116</v>
      </c>
      <c r="B142" s="3">
        <v>12.919688951958426</v>
      </c>
      <c r="C142" s="3">
        <v>-0.31968895195842606</v>
      </c>
      <c r="D142" s="3">
        <v>-0.19111496739780984</v>
      </c>
      <c r="F142" s="3">
        <v>57.75</v>
      </c>
      <c r="G142" s="3">
        <v>14.6</v>
      </c>
    </row>
    <row r="143" spans="1:7" x14ac:dyDescent="0.25">
      <c r="A143" s="3">
        <v>117</v>
      </c>
      <c r="B143" s="3">
        <v>11.978747436893686</v>
      </c>
      <c r="C143" s="3">
        <v>0.22125256310631336</v>
      </c>
      <c r="D143" s="3">
        <v>0.13226818169882784</v>
      </c>
      <c r="F143" s="3">
        <v>58.25</v>
      </c>
      <c r="G143" s="3">
        <v>14.6</v>
      </c>
    </row>
    <row r="144" spans="1:7" x14ac:dyDescent="0.25">
      <c r="A144" s="3">
        <v>118</v>
      </c>
      <c r="B144" s="3">
        <v>6.5707773987577056</v>
      </c>
      <c r="C144" s="3">
        <v>2.8292226012422947</v>
      </c>
      <c r="D144" s="3">
        <v>1.6913527411103157</v>
      </c>
      <c r="F144" s="3">
        <v>58.75</v>
      </c>
      <c r="G144" s="3">
        <v>14.7</v>
      </c>
    </row>
    <row r="145" spans="1:7" x14ac:dyDescent="0.25">
      <c r="A145" s="3">
        <v>119</v>
      </c>
      <c r="B145" s="3">
        <v>15.566093478520511</v>
      </c>
      <c r="C145" s="3">
        <v>0.33390652147948963</v>
      </c>
      <c r="D145" s="3">
        <v>0.19961444890584618</v>
      </c>
      <c r="F145" s="3">
        <v>59.25</v>
      </c>
      <c r="G145" s="3">
        <v>14.7</v>
      </c>
    </row>
    <row r="146" spans="1:7" x14ac:dyDescent="0.25">
      <c r="A146" s="3">
        <v>120</v>
      </c>
      <c r="B146" s="3">
        <v>6.8200676671381784</v>
      </c>
      <c r="C146" s="3">
        <v>-0.22006766713817871</v>
      </c>
      <c r="D146" s="3">
        <v>-0.13155983268353469</v>
      </c>
      <c r="F146" s="3">
        <v>59.75</v>
      </c>
      <c r="G146" s="3">
        <v>14.8</v>
      </c>
    </row>
    <row r="147" spans="1:7" x14ac:dyDescent="0.25">
      <c r="A147" s="3">
        <v>121</v>
      </c>
      <c r="B147" s="3">
        <v>14.410106047152565</v>
      </c>
      <c r="C147" s="3">
        <v>1.0898939528474347</v>
      </c>
      <c r="D147" s="3">
        <v>0.65155535087929883</v>
      </c>
      <c r="F147" s="3">
        <v>60.25</v>
      </c>
      <c r="G147" s="3">
        <v>14.8</v>
      </c>
    </row>
    <row r="148" spans="1:7" x14ac:dyDescent="0.25">
      <c r="A148" s="3">
        <v>122</v>
      </c>
      <c r="B148" s="3">
        <v>7.8380764218051215</v>
      </c>
      <c r="C148" s="3">
        <v>-0.83807642180512154</v>
      </c>
      <c r="D148" s="3">
        <v>-0.50101496172751103</v>
      </c>
      <c r="F148" s="3">
        <v>60.75</v>
      </c>
      <c r="G148" s="3">
        <v>14.9</v>
      </c>
    </row>
    <row r="149" spans="1:7" x14ac:dyDescent="0.25">
      <c r="A149" s="3">
        <v>123</v>
      </c>
      <c r="B149" s="3">
        <v>13.626457100609532</v>
      </c>
      <c r="C149" s="3">
        <v>-2.026457100609532</v>
      </c>
      <c r="D149" s="3">
        <v>-1.2114471906004922</v>
      </c>
      <c r="F149" s="3">
        <v>61.25</v>
      </c>
      <c r="G149" s="3">
        <v>14.9</v>
      </c>
    </row>
    <row r="150" spans="1:7" x14ac:dyDescent="0.25">
      <c r="A150" s="3">
        <v>124</v>
      </c>
      <c r="B150" s="3">
        <v>15.08279089666202</v>
      </c>
      <c r="C150" s="3">
        <v>0.11720910333797896</v>
      </c>
      <c r="D150" s="3">
        <v>7.0069402855302415E-2</v>
      </c>
      <c r="F150" s="3">
        <v>61.75</v>
      </c>
      <c r="G150" s="3">
        <v>15</v>
      </c>
    </row>
    <row r="151" spans="1:7" x14ac:dyDescent="0.25">
      <c r="A151" s="3">
        <v>125</v>
      </c>
      <c r="B151" s="3">
        <v>19.454413064179416</v>
      </c>
      <c r="C151" s="3">
        <v>0.24558693582058311</v>
      </c>
      <c r="D151" s="3">
        <v>0.14681564359716273</v>
      </c>
      <c r="F151" s="3">
        <v>62.25</v>
      </c>
      <c r="G151" s="3">
        <v>15</v>
      </c>
    </row>
    <row r="152" spans="1:7" x14ac:dyDescent="0.25">
      <c r="A152" s="3">
        <v>126</v>
      </c>
      <c r="B152" s="3">
        <v>9.1273495830047597</v>
      </c>
      <c r="C152" s="3">
        <v>1.4726504169952399</v>
      </c>
      <c r="D152" s="3">
        <v>0.8803730460757897</v>
      </c>
      <c r="F152" s="3">
        <v>62.75</v>
      </c>
      <c r="G152" s="3">
        <v>15.2</v>
      </c>
    </row>
    <row r="153" spans="1:7" x14ac:dyDescent="0.25">
      <c r="A153" s="3">
        <v>127</v>
      </c>
      <c r="B153" s="3">
        <v>10.577174114180366</v>
      </c>
      <c r="C153" s="3">
        <v>-3.9771741141803663</v>
      </c>
      <c r="D153" s="3">
        <v>-2.3776157934473781</v>
      </c>
      <c r="F153" s="3">
        <v>63.25</v>
      </c>
      <c r="G153" s="3">
        <v>15.2</v>
      </c>
    </row>
    <row r="154" spans="1:7" x14ac:dyDescent="0.25">
      <c r="A154" s="3">
        <v>128</v>
      </c>
      <c r="B154" s="3">
        <v>6.59966899899152</v>
      </c>
      <c r="C154" s="3">
        <v>2.2003310010084807</v>
      </c>
      <c r="D154" s="3">
        <v>1.3153916797750711</v>
      </c>
      <c r="F154" s="3">
        <v>63.75</v>
      </c>
      <c r="G154" s="3">
        <v>15.3</v>
      </c>
    </row>
    <row r="155" spans="1:7" x14ac:dyDescent="0.25">
      <c r="A155" s="3">
        <v>129</v>
      </c>
      <c r="B155" s="3">
        <v>22.25549161453959</v>
      </c>
      <c r="C155" s="3">
        <v>2.4445083854604093</v>
      </c>
      <c r="D155" s="3">
        <v>1.4613646719067526</v>
      </c>
      <c r="F155" s="3">
        <v>64.25</v>
      </c>
      <c r="G155" s="3">
        <v>15.5</v>
      </c>
    </row>
    <row r="156" spans="1:7" x14ac:dyDescent="0.25">
      <c r="A156" s="3">
        <v>130</v>
      </c>
      <c r="B156" s="3">
        <v>7.8841064914888364</v>
      </c>
      <c r="C156" s="3">
        <v>1.8158935085111629</v>
      </c>
      <c r="D156" s="3">
        <v>1.0855690400027862</v>
      </c>
      <c r="F156" s="3">
        <v>64.75</v>
      </c>
      <c r="G156" s="3">
        <v>15.5</v>
      </c>
    </row>
    <row r="157" spans="1:7" x14ac:dyDescent="0.25">
      <c r="A157" s="3">
        <v>131</v>
      </c>
      <c r="B157" s="3">
        <v>10.427687101769544</v>
      </c>
      <c r="C157" s="3">
        <v>-8.8276871017695449</v>
      </c>
      <c r="D157" s="3">
        <v>-5.277326983987086</v>
      </c>
      <c r="F157" s="3">
        <v>65.25</v>
      </c>
      <c r="G157" s="3">
        <v>15.5</v>
      </c>
    </row>
    <row r="158" spans="1:7" x14ac:dyDescent="0.25">
      <c r="A158" s="3">
        <v>132</v>
      </c>
      <c r="B158" s="3">
        <v>15.577798192467164</v>
      </c>
      <c r="C158" s="3">
        <v>-2.8777981924671643</v>
      </c>
      <c r="D158" s="3">
        <v>-1.7203919758927475</v>
      </c>
      <c r="F158" s="3">
        <v>65.75</v>
      </c>
      <c r="G158" s="3">
        <v>15.6</v>
      </c>
    </row>
    <row r="159" spans="1:7" x14ac:dyDescent="0.25">
      <c r="A159" s="3">
        <v>133</v>
      </c>
      <c r="B159" s="3">
        <v>8.4491501160707134</v>
      </c>
      <c r="C159" s="3">
        <v>-2.7491501160707132</v>
      </c>
      <c r="D159" s="3">
        <v>-1.6434841791869794</v>
      </c>
      <c r="F159" s="3">
        <v>66.25</v>
      </c>
      <c r="G159" s="3">
        <v>15.7</v>
      </c>
    </row>
    <row r="160" spans="1:7" x14ac:dyDescent="0.25">
      <c r="A160" s="3">
        <v>134</v>
      </c>
      <c r="B160" s="3">
        <v>19.266923071099967</v>
      </c>
      <c r="C160" s="3">
        <v>0.33307692890003437</v>
      </c>
      <c r="D160" s="3">
        <v>0.19911850571542691</v>
      </c>
      <c r="F160" s="3">
        <v>66.75</v>
      </c>
      <c r="G160" s="3">
        <v>15.9</v>
      </c>
    </row>
    <row r="161" spans="1:7" x14ac:dyDescent="0.25">
      <c r="A161" s="3">
        <v>135</v>
      </c>
      <c r="B161" s="3">
        <v>11.836803896219831</v>
      </c>
      <c r="C161" s="3">
        <v>-1.0368038962198298</v>
      </c>
      <c r="D161" s="3">
        <v>-0.61981729931581508</v>
      </c>
      <c r="F161" s="3">
        <v>67.25</v>
      </c>
      <c r="G161" s="3">
        <v>15.9</v>
      </c>
    </row>
    <row r="162" spans="1:7" x14ac:dyDescent="0.25">
      <c r="A162" s="3">
        <v>136</v>
      </c>
      <c r="B162" s="3">
        <v>14.001413849249673</v>
      </c>
      <c r="C162" s="3">
        <v>-2.401413849249673</v>
      </c>
      <c r="D162" s="3">
        <v>-1.4356020960264024</v>
      </c>
      <c r="F162" s="3">
        <v>67.75</v>
      </c>
      <c r="G162" s="3">
        <v>15.9</v>
      </c>
    </row>
    <row r="163" spans="1:7" x14ac:dyDescent="0.25">
      <c r="A163" s="3">
        <v>137</v>
      </c>
      <c r="B163" s="3">
        <v>11.453486267632533</v>
      </c>
      <c r="C163" s="3">
        <v>-1.9534862676325329</v>
      </c>
      <c r="D163" s="3">
        <v>-1.16782410547366</v>
      </c>
      <c r="F163" s="3">
        <v>68.25</v>
      </c>
      <c r="G163" s="3">
        <v>15.9</v>
      </c>
    </row>
    <row r="164" spans="1:7" x14ac:dyDescent="0.25">
      <c r="A164" s="3">
        <v>138</v>
      </c>
      <c r="B164" s="3">
        <v>20.851251984901999</v>
      </c>
      <c r="C164" s="3">
        <v>-5.1251984901998782E-2</v>
      </c>
      <c r="D164" s="3">
        <v>-3.0639224044540433E-2</v>
      </c>
      <c r="F164" s="3">
        <v>68.75</v>
      </c>
      <c r="G164" s="3">
        <v>16</v>
      </c>
    </row>
    <row r="165" spans="1:7" x14ac:dyDescent="0.25">
      <c r="A165" s="3">
        <v>139</v>
      </c>
      <c r="B165" s="3">
        <v>9.7684279548522408</v>
      </c>
      <c r="C165" s="3">
        <v>-0.16842795485224116</v>
      </c>
      <c r="D165" s="3">
        <v>-0.10068881925157017</v>
      </c>
      <c r="F165" s="3">
        <v>69.25</v>
      </c>
      <c r="G165" s="3">
        <v>16.100000000000001</v>
      </c>
    </row>
    <row r="166" spans="1:7" x14ac:dyDescent="0.25">
      <c r="A166" s="3">
        <v>140</v>
      </c>
      <c r="B166" s="3">
        <v>19.675476318699388</v>
      </c>
      <c r="C166" s="3">
        <v>1.0245236813006109</v>
      </c>
      <c r="D166" s="3">
        <v>0.61247599815558662</v>
      </c>
      <c r="F166" s="3">
        <v>69.75</v>
      </c>
      <c r="G166" s="3">
        <v>16.600000000000001</v>
      </c>
    </row>
    <row r="167" spans="1:7" x14ac:dyDescent="0.25">
      <c r="A167" s="3">
        <v>141</v>
      </c>
      <c r="B167" s="3">
        <v>9.489640973247127</v>
      </c>
      <c r="C167" s="3">
        <v>1.4103590267528734</v>
      </c>
      <c r="D167" s="3">
        <v>0.84313429590189481</v>
      </c>
      <c r="F167" s="3">
        <v>70.25</v>
      </c>
      <c r="G167" s="3">
        <v>16.600000000000001</v>
      </c>
    </row>
    <row r="168" spans="1:7" x14ac:dyDescent="0.25">
      <c r="A168" s="3">
        <v>142</v>
      </c>
      <c r="B168" s="3">
        <v>18.39902931906315</v>
      </c>
      <c r="C168" s="3">
        <v>0.80097068093684953</v>
      </c>
      <c r="D168" s="3">
        <v>0.47883257971878401</v>
      </c>
      <c r="F168" s="3">
        <v>70.75</v>
      </c>
      <c r="G168" s="3">
        <v>16.7</v>
      </c>
    </row>
    <row r="169" spans="1:7" x14ac:dyDescent="0.25">
      <c r="A169" s="3">
        <v>143</v>
      </c>
      <c r="B169" s="3">
        <v>19.249869267749116</v>
      </c>
      <c r="C169" s="3">
        <v>0.85013073225088576</v>
      </c>
      <c r="D169" s="3">
        <v>0.50822121372255935</v>
      </c>
      <c r="F169" s="3">
        <v>71.25</v>
      </c>
      <c r="G169" s="3">
        <v>16.899999999999999</v>
      </c>
    </row>
    <row r="170" spans="1:7" x14ac:dyDescent="0.25">
      <c r="A170" s="3">
        <v>144</v>
      </c>
      <c r="B170" s="3">
        <v>8.7648026198665843</v>
      </c>
      <c r="C170" s="3">
        <v>1.6351973801334161</v>
      </c>
      <c r="D170" s="3">
        <v>0.97754611812116154</v>
      </c>
      <c r="F170" s="3">
        <v>71.75</v>
      </c>
      <c r="G170" s="3">
        <v>17</v>
      </c>
    </row>
    <row r="171" spans="1:7" x14ac:dyDescent="0.25">
      <c r="A171" s="3">
        <v>145</v>
      </c>
      <c r="B171" s="3">
        <v>10.09133403330576</v>
      </c>
      <c r="C171" s="3">
        <v>1.3086659666942406</v>
      </c>
      <c r="D171" s="3">
        <v>0.78234062211795818</v>
      </c>
      <c r="F171" s="3">
        <v>72.25</v>
      </c>
      <c r="G171" s="3">
        <v>17.100000000000001</v>
      </c>
    </row>
    <row r="172" spans="1:7" x14ac:dyDescent="0.25">
      <c r="A172" s="3">
        <v>146</v>
      </c>
      <c r="B172" s="3">
        <v>9.708538721613996</v>
      </c>
      <c r="C172" s="3">
        <v>0.59146127838600471</v>
      </c>
      <c r="D172" s="3">
        <v>0.35358463982986854</v>
      </c>
      <c r="F172" s="3">
        <v>72.75</v>
      </c>
      <c r="G172" s="3">
        <v>17.100000000000001</v>
      </c>
    </row>
    <row r="173" spans="1:7" x14ac:dyDescent="0.25">
      <c r="A173" s="3">
        <v>147</v>
      </c>
      <c r="B173" s="3">
        <v>15.29422367733372</v>
      </c>
      <c r="C173" s="3">
        <v>-2.0942236773337211</v>
      </c>
      <c r="D173" s="3">
        <v>-1.2519590913776852</v>
      </c>
      <c r="F173" s="3">
        <v>73.25</v>
      </c>
      <c r="G173" s="3">
        <v>17.2</v>
      </c>
    </row>
    <row r="174" spans="1:7" x14ac:dyDescent="0.25">
      <c r="A174" s="3">
        <v>148</v>
      </c>
      <c r="B174" s="3">
        <v>23.260861031422419</v>
      </c>
      <c r="C174" s="3">
        <v>2.1391389685775799</v>
      </c>
      <c r="D174" s="3">
        <v>1.2788101425921468</v>
      </c>
      <c r="F174" s="3">
        <v>73.75</v>
      </c>
      <c r="G174" s="3">
        <v>17.3</v>
      </c>
    </row>
    <row r="175" spans="1:7" x14ac:dyDescent="0.25">
      <c r="A175" s="3">
        <v>149</v>
      </c>
      <c r="B175" s="3">
        <v>12.263359411362689</v>
      </c>
      <c r="C175" s="3">
        <v>-1.3633594113626888</v>
      </c>
      <c r="D175" s="3">
        <v>-0.81503720368779531</v>
      </c>
      <c r="F175" s="3">
        <v>74.25</v>
      </c>
      <c r="G175" s="3">
        <v>17.3</v>
      </c>
    </row>
    <row r="176" spans="1:7" x14ac:dyDescent="0.25">
      <c r="A176" s="3">
        <v>150</v>
      </c>
      <c r="B176" s="3">
        <v>9.8272711011303482</v>
      </c>
      <c r="C176" s="3">
        <v>0.27272889886965146</v>
      </c>
      <c r="D176" s="3">
        <v>0.16304152613535514</v>
      </c>
      <c r="F176" s="3">
        <v>74.75</v>
      </c>
      <c r="G176" s="3">
        <v>17.399999999999999</v>
      </c>
    </row>
    <row r="177" spans="1:7" x14ac:dyDescent="0.25">
      <c r="A177" s="3">
        <v>151</v>
      </c>
      <c r="B177" s="3">
        <v>18.367205341380927</v>
      </c>
      <c r="C177" s="3">
        <v>-2.2672053413809259</v>
      </c>
      <c r="D177" s="3">
        <v>-1.3553701879522695</v>
      </c>
      <c r="F177" s="3">
        <v>75.25</v>
      </c>
      <c r="G177" s="3">
        <v>17.399999999999999</v>
      </c>
    </row>
    <row r="178" spans="1:7" x14ac:dyDescent="0.25">
      <c r="A178" s="3">
        <v>152</v>
      </c>
      <c r="B178" s="3">
        <v>10.009537700506844</v>
      </c>
      <c r="C178" s="3">
        <v>1.5904622994931561</v>
      </c>
      <c r="D178" s="3">
        <v>0.95080279957440894</v>
      </c>
      <c r="F178" s="3">
        <v>75.75</v>
      </c>
      <c r="G178" s="3">
        <v>17.600000000000001</v>
      </c>
    </row>
    <row r="179" spans="1:7" x14ac:dyDescent="0.25">
      <c r="A179" s="3">
        <v>153</v>
      </c>
      <c r="B179" s="3">
        <v>16.360000304436973</v>
      </c>
      <c r="C179" s="3">
        <v>0.23999969556302858</v>
      </c>
      <c r="D179" s="3">
        <v>0.14347550552506219</v>
      </c>
      <c r="F179" s="3">
        <v>76.25</v>
      </c>
      <c r="G179" s="3">
        <v>18</v>
      </c>
    </row>
    <row r="180" spans="1:7" x14ac:dyDescent="0.25">
      <c r="A180" s="3">
        <v>154</v>
      </c>
      <c r="B180" s="3">
        <v>18.223901319920376</v>
      </c>
      <c r="C180" s="3">
        <v>0.7760986800796239</v>
      </c>
      <c r="D180" s="3">
        <v>0.46396371545610804</v>
      </c>
      <c r="F180" s="3">
        <v>76.75</v>
      </c>
      <c r="G180" s="3">
        <v>18</v>
      </c>
    </row>
    <row r="181" spans="1:7" x14ac:dyDescent="0.25">
      <c r="A181" s="3">
        <v>155</v>
      </c>
      <c r="B181" s="3">
        <v>15.501616959053665</v>
      </c>
      <c r="C181" s="3">
        <v>9.8383040946334432E-2</v>
      </c>
      <c r="D181" s="3">
        <v>5.8814893501234485E-2</v>
      </c>
      <c r="F181" s="3">
        <v>77.25</v>
      </c>
      <c r="G181" s="3">
        <v>18</v>
      </c>
    </row>
    <row r="182" spans="1:7" x14ac:dyDescent="0.25">
      <c r="A182" s="3">
        <v>156</v>
      </c>
      <c r="B182" s="3">
        <v>5.3075589017356029</v>
      </c>
      <c r="C182" s="3">
        <v>-2.1075589017356027</v>
      </c>
      <c r="D182" s="3">
        <v>-1.259931093416528</v>
      </c>
      <c r="F182" s="3">
        <v>77.75</v>
      </c>
      <c r="G182" s="3">
        <v>18.3</v>
      </c>
    </row>
    <row r="183" spans="1:7" x14ac:dyDescent="0.25">
      <c r="A183" s="3">
        <v>157</v>
      </c>
      <c r="B183" s="3">
        <v>15.384851915018084</v>
      </c>
      <c r="C183" s="3">
        <v>-8.4851915018083091E-2</v>
      </c>
      <c r="D183" s="3">
        <v>-5.0725778519964466E-2</v>
      </c>
      <c r="F183" s="3">
        <v>78.25</v>
      </c>
      <c r="G183" s="3">
        <v>18.399999999999999</v>
      </c>
    </row>
    <row r="184" spans="1:7" x14ac:dyDescent="0.25">
      <c r="A184" s="3">
        <v>158</v>
      </c>
      <c r="B184" s="3">
        <v>10.014311199739465</v>
      </c>
      <c r="C184" s="3">
        <v>8.5688800260534492E-2</v>
      </c>
      <c r="D184" s="3">
        <v>5.1226081376372239E-2</v>
      </c>
      <c r="F184" s="3">
        <v>78.75</v>
      </c>
      <c r="G184" s="3">
        <v>18.5</v>
      </c>
    </row>
    <row r="185" spans="1:7" x14ac:dyDescent="0.25">
      <c r="A185" s="3">
        <v>159</v>
      </c>
      <c r="B185" s="3">
        <v>10.38419866004938</v>
      </c>
      <c r="C185" s="3">
        <v>-3.0841986600493803</v>
      </c>
      <c r="D185" s="3">
        <v>-1.8437813466896391</v>
      </c>
      <c r="F185" s="3">
        <v>79.25</v>
      </c>
      <c r="G185" s="3">
        <v>18.899999999999999</v>
      </c>
    </row>
    <row r="186" spans="1:7" x14ac:dyDescent="0.25">
      <c r="A186" s="3">
        <v>160</v>
      </c>
      <c r="B186" s="3">
        <v>12.399148227960556</v>
      </c>
      <c r="C186" s="3">
        <v>0.50085177203944475</v>
      </c>
      <c r="D186" s="3">
        <v>0.29941688475021716</v>
      </c>
      <c r="F186" s="3">
        <v>79.75</v>
      </c>
      <c r="G186" s="3">
        <v>18.899999999999999</v>
      </c>
    </row>
    <row r="187" spans="1:7" x14ac:dyDescent="0.25">
      <c r="A187" s="3">
        <v>161</v>
      </c>
      <c r="B187" s="3">
        <v>14.213832980330974</v>
      </c>
      <c r="C187" s="3">
        <v>0.1861670196690266</v>
      </c>
      <c r="D187" s="3">
        <v>0.11129350475402214</v>
      </c>
      <c r="F187" s="3">
        <v>80.25</v>
      </c>
      <c r="G187" s="3">
        <v>19</v>
      </c>
    </row>
    <row r="188" spans="1:7" x14ac:dyDescent="0.25">
      <c r="A188" s="3">
        <v>162</v>
      </c>
      <c r="B188" s="3">
        <v>13.559145683664621</v>
      </c>
      <c r="C188" s="3">
        <v>-0.25914568366462021</v>
      </c>
      <c r="D188" s="3">
        <v>-0.15492127138409126</v>
      </c>
      <c r="F188" s="3">
        <v>80.75</v>
      </c>
      <c r="G188" s="3">
        <v>19</v>
      </c>
    </row>
    <row r="189" spans="1:7" x14ac:dyDescent="0.25">
      <c r="A189" s="3">
        <v>163</v>
      </c>
      <c r="B189" s="3">
        <v>14.946782057588425</v>
      </c>
      <c r="C189" s="3">
        <v>-4.6782057588425019E-2</v>
      </c>
      <c r="D189" s="3">
        <v>-2.7967032817502589E-2</v>
      </c>
      <c r="F189" s="3">
        <v>81.25</v>
      </c>
      <c r="G189" s="3">
        <v>19.2</v>
      </c>
    </row>
    <row r="190" spans="1:7" x14ac:dyDescent="0.25">
      <c r="A190" s="3">
        <v>164</v>
      </c>
      <c r="B190" s="3">
        <v>17.351636075492511</v>
      </c>
      <c r="C190" s="3">
        <v>0.64836392450748903</v>
      </c>
      <c r="D190" s="3">
        <v>0.38760191597199439</v>
      </c>
      <c r="F190" s="3">
        <v>81.75</v>
      </c>
      <c r="G190" s="3">
        <v>19.2</v>
      </c>
    </row>
    <row r="191" spans="1:7" x14ac:dyDescent="0.25">
      <c r="A191" s="3">
        <v>165</v>
      </c>
      <c r="B191" s="3">
        <v>11.068294603100242</v>
      </c>
      <c r="C191" s="3">
        <v>0.83170539689975875</v>
      </c>
      <c r="D191" s="3">
        <v>0.49720626515035377</v>
      </c>
      <c r="F191" s="3">
        <v>82.25</v>
      </c>
      <c r="G191" s="3">
        <v>19.399999999999999</v>
      </c>
    </row>
    <row r="192" spans="1:7" x14ac:dyDescent="0.25">
      <c r="A192" s="3">
        <v>166</v>
      </c>
      <c r="B192" s="3">
        <v>14.223721376270053</v>
      </c>
      <c r="C192" s="3">
        <v>-2.3237213762700524</v>
      </c>
      <c r="D192" s="3">
        <v>-1.3891563419595356</v>
      </c>
      <c r="F192" s="3">
        <v>82.75</v>
      </c>
      <c r="G192" s="3">
        <v>19.600000000000001</v>
      </c>
    </row>
    <row r="193" spans="1:7" x14ac:dyDescent="0.25">
      <c r="A193" s="3">
        <v>167</v>
      </c>
      <c r="B193" s="3">
        <v>10.824395309518028</v>
      </c>
      <c r="C193" s="3">
        <v>-2.8243953095180281</v>
      </c>
      <c r="D193" s="3">
        <v>-1.6884669119477773</v>
      </c>
      <c r="F193" s="3">
        <v>83.25</v>
      </c>
      <c r="G193" s="3">
        <v>19.600000000000001</v>
      </c>
    </row>
    <row r="194" spans="1:7" x14ac:dyDescent="0.25">
      <c r="A194" s="3">
        <v>168</v>
      </c>
      <c r="B194" s="3">
        <v>13.363246772586256</v>
      </c>
      <c r="C194" s="3">
        <v>-1.1632467725862572</v>
      </c>
      <c r="D194" s="3">
        <v>-0.69540679356145174</v>
      </c>
      <c r="F194" s="3">
        <v>83.75</v>
      </c>
      <c r="G194" s="3">
        <v>19.7</v>
      </c>
    </row>
    <row r="195" spans="1:7" x14ac:dyDescent="0.25">
      <c r="A195" s="3">
        <v>169</v>
      </c>
      <c r="B195" s="3">
        <v>17.186142800575041</v>
      </c>
      <c r="C195" s="3">
        <v>-8.6142800575039757E-2</v>
      </c>
      <c r="D195" s="3">
        <v>-5.149748973995108E-2</v>
      </c>
      <c r="F195" s="3">
        <v>84.25</v>
      </c>
      <c r="G195" s="3">
        <v>19.8</v>
      </c>
    </row>
    <row r="196" spans="1:7" x14ac:dyDescent="0.25">
      <c r="A196" s="3">
        <v>170</v>
      </c>
      <c r="B196" s="3">
        <v>17.941556296290063</v>
      </c>
      <c r="C196" s="3">
        <v>-2.941556296290063</v>
      </c>
      <c r="D196" s="3">
        <v>-1.7585075499806631</v>
      </c>
      <c r="F196" s="3">
        <v>84.75</v>
      </c>
      <c r="G196" s="3">
        <v>20.100000000000001</v>
      </c>
    </row>
    <row r="197" spans="1:7" x14ac:dyDescent="0.25">
      <c r="A197" s="3">
        <v>171</v>
      </c>
      <c r="B197" s="3">
        <v>7.3949799664989024</v>
      </c>
      <c r="C197" s="3">
        <v>1.0050200335010979</v>
      </c>
      <c r="D197" s="3">
        <v>0.6008164178338149</v>
      </c>
      <c r="F197" s="3">
        <v>85.25</v>
      </c>
      <c r="G197" s="3">
        <v>20.2</v>
      </c>
    </row>
    <row r="198" spans="1:7" x14ac:dyDescent="0.25">
      <c r="A198" s="3">
        <v>172</v>
      </c>
      <c r="B198" s="3">
        <v>14.358273730249413</v>
      </c>
      <c r="C198" s="3">
        <v>0.14172626975058655</v>
      </c>
      <c r="D198" s="3">
        <v>8.4726141635069557E-2</v>
      </c>
      <c r="F198" s="3">
        <v>85.75</v>
      </c>
      <c r="G198" s="3">
        <v>20.2</v>
      </c>
    </row>
    <row r="199" spans="1:7" x14ac:dyDescent="0.25">
      <c r="A199" s="3">
        <v>173</v>
      </c>
      <c r="B199" s="3">
        <v>7.6076923787190207</v>
      </c>
      <c r="C199" s="3">
        <v>-7.6923787190210646E-3</v>
      </c>
      <c r="D199" s="3">
        <v>-4.5986221891349561E-3</v>
      </c>
      <c r="F199" s="3">
        <v>86.25</v>
      </c>
      <c r="G199" s="3">
        <v>20.7</v>
      </c>
    </row>
    <row r="200" spans="1:7" x14ac:dyDescent="0.25">
      <c r="A200" s="3">
        <v>174</v>
      </c>
      <c r="B200" s="3">
        <v>11.970938873323922</v>
      </c>
      <c r="C200" s="3">
        <v>-0.27093887332392264</v>
      </c>
      <c r="D200" s="3">
        <v>-0.16197142136095649</v>
      </c>
      <c r="F200" s="3">
        <v>86.75</v>
      </c>
      <c r="G200" s="3">
        <v>20.7</v>
      </c>
    </row>
    <row r="201" spans="1:7" x14ac:dyDescent="0.25">
      <c r="A201" s="3">
        <v>175</v>
      </c>
      <c r="B201" s="3">
        <v>13.744357417405292</v>
      </c>
      <c r="C201" s="3">
        <v>-2.2443574174052916</v>
      </c>
      <c r="D201" s="3">
        <v>-1.3417113479486937</v>
      </c>
      <c r="F201" s="3">
        <v>87.25</v>
      </c>
      <c r="G201" s="3">
        <v>20.7</v>
      </c>
    </row>
    <row r="202" spans="1:7" x14ac:dyDescent="0.25">
      <c r="A202" s="3">
        <v>176</v>
      </c>
      <c r="B202" s="3">
        <v>24.786870314183684</v>
      </c>
      <c r="C202" s="3">
        <v>2.2131296858163161</v>
      </c>
      <c r="D202" s="3">
        <v>1.3230429302008364</v>
      </c>
      <c r="F202" s="3">
        <v>87.75</v>
      </c>
      <c r="G202" s="3">
        <v>20.8</v>
      </c>
    </row>
    <row r="203" spans="1:7" x14ac:dyDescent="0.25">
      <c r="A203" s="3">
        <v>177</v>
      </c>
      <c r="B203" s="3">
        <v>19.979372702747675</v>
      </c>
      <c r="C203" s="3">
        <v>0.22062729725232444</v>
      </c>
      <c r="D203" s="3">
        <v>0.13189438816430621</v>
      </c>
      <c r="F203" s="3">
        <v>88.25</v>
      </c>
      <c r="G203" s="3">
        <v>21.2</v>
      </c>
    </row>
    <row r="204" spans="1:7" x14ac:dyDescent="0.25">
      <c r="A204" s="3">
        <v>178</v>
      </c>
      <c r="B204" s="3">
        <v>12.16204640283491</v>
      </c>
      <c r="C204" s="3">
        <v>-0.46204640283491116</v>
      </c>
      <c r="D204" s="3">
        <v>-0.27621843880783487</v>
      </c>
      <c r="F204" s="3">
        <v>88.75</v>
      </c>
      <c r="G204" s="3">
        <v>21.4</v>
      </c>
    </row>
    <row r="205" spans="1:7" x14ac:dyDescent="0.25">
      <c r="A205" s="3">
        <v>179</v>
      </c>
      <c r="B205" s="3">
        <v>16.010997220773103</v>
      </c>
      <c r="C205" s="3">
        <v>-4.2109972207731019</v>
      </c>
      <c r="D205" s="3">
        <v>-2.5173988391847129</v>
      </c>
      <c r="F205" s="3">
        <v>89.25</v>
      </c>
      <c r="G205" s="3">
        <v>21.5</v>
      </c>
    </row>
    <row r="206" spans="1:7" x14ac:dyDescent="0.25">
      <c r="A206" s="3">
        <v>180</v>
      </c>
      <c r="B206" s="3">
        <v>12.384554948507715</v>
      </c>
      <c r="C206" s="3">
        <v>0.21544505149228499</v>
      </c>
      <c r="D206" s="3">
        <v>0.12879636202542927</v>
      </c>
      <c r="F206" s="3">
        <v>89.75</v>
      </c>
      <c r="G206" s="3">
        <v>21.7</v>
      </c>
    </row>
    <row r="207" spans="1:7" x14ac:dyDescent="0.25">
      <c r="A207" s="3">
        <v>181</v>
      </c>
      <c r="B207" s="3">
        <v>10.587199699509453</v>
      </c>
      <c r="C207" s="3">
        <v>-8.7199699509453055E-2</v>
      </c>
      <c r="D207" s="3">
        <v>-5.2129320161852691E-2</v>
      </c>
      <c r="F207" s="3">
        <v>90.25</v>
      </c>
      <c r="G207" s="3">
        <v>21.8</v>
      </c>
    </row>
    <row r="208" spans="1:7" x14ac:dyDescent="0.25">
      <c r="A208" s="3">
        <v>182</v>
      </c>
      <c r="B208" s="3">
        <v>13.928099183458238</v>
      </c>
      <c r="C208" s="3">
        <v>-1.7280991834582391</v>
      </c>
      <c r="D208" s="3">
        <v>-1.0330842435548182</v>
      </c>
      <c r="F208" s="3">
        <v>90.75</v>
      </c>
      <c r="G208" s="3">
        <v>22.1</v>
      </c>
    </row>
    <row r="209" spans="1:7" x14ac:dyDescent="0.25">
      <c r="A209" s="3">
        <v>183</v>
      </c>
      <c r="B209" s="3">
        <v>6.5546699971249796</v>
      </c>
      <c r="C209" s="3">
        <v>2.1453300028750197</v>
      </c>
      <c r="D209" s="3">
        <v>1.2825112380183903</v>
      </c>
      <c r="F209" s="3">
        <v>91.25</v>
      </c>
      <c r="G209" s="3">
        <v>22.2</v>
      </c>
    </row>
    <row r="210" spans="1:7" x14ac:dyDescent="0.25">
      <c r="A210" s="3">
        <v>184</v>
      </c>
      <c r="B210" s="3">
        <v>24.133100129464747</v>
      </c>
      <c r="C210" s="3">
        <v>2.0668998705352521</v>
      </c>
      <c r="D210" s="3">
        <v>1.2356244998521309</v>
      </c>
      <c r="F210" s="3">
        <v>91.75</v>
      </c>
      <c r="G210" s="3">
        <v>22.3</v>
      </c>
    </row>
    <row r="211" spans="1:7" x14ac:dyDescent="0.25">
      <c r="A211" s="3">
        <v>185</v>
      </c>
      <c r="B211" s="3">
        <v>18.538520955122785</v>
      </c>
      <c r="C211" s="3">
        <v>-0.93852095512278311</v>
      </c>
      <c r="D211" s="3">
        <v>-0.56106224704248653</v>
      </c>
      <c r="F211" s="3">
        <v>92.25</v>
      </c>
      <c r="G211" s="3">
        <v>22.4</v>
      </c>
    </row>
    <row r="212" spans="1:7" x14ac:dyDescent="0.25">
      <c r="A212" s="3">
        <v>186</v>
      </c>
      <c r="B212" s="3">
        <v>20.803010587194397</v>
      </c>
      <c r="C212" s="3">
        <v>1.7969894128056048</v>
      </c>
      <c r="D212" s="3">
        <v>1.0742678811347042</v>
      </c>
      <c r="F212" s="3">
        <v>92.75</v>
      </c>
      <c r="G212" s="3">
        <v>22.6</v>
      </c>
    </row>
    <row r="213" spans="1:7" x14ac:dyDescent="0.25">
      <c r="A213" s="3">
        <v>187</v>
      </c>
      <c r="B213" s="3">
        <v>9.6913731310857365</v>
      </c>
      <c r="C213" s="3">
        <v>0.60862686891426421</v>
      </c>
      <c r="D213" s="3">
        <v>0.36384649359139326</v>
      </c>
      <c r="F213" s="3">
        <v>93.25</v>
      </c>
      <c r="G213" s="3">
        <v>22.6</v>
      </c>
    </row>
    <row r="214" spans="1:7" x14ac:dyDescent="0.25">
      <c r="A214" s="3">
        <v>188</v>
      </c>
      <c r="B214" s="3">
        <v>17.076442228165288</v>
      </c>
      <c r="C214" s="3">
        <v>0.22355777183471304</v>
      </c>
      <c r="D214" s="3">
        <v>0.13364627089544964</v>
      </c>
      <c r="F214" s="3">
        <v>93.75</v>
      </c>
      <c r="G214" s="3">
        <v>23.2</v>
      </c>
    </row>
    <row r="215" spans="1:7" x14ac:dyDescent="0.25">
      <c r="A215" s="3">
        <v>189</v>
      </c>
      <c r="B215" s="3">
        <v>18.644306480608996</v>
      </c>
      <c r="C215" s="3">
        <v>-2.7443064806089961</v>
      </c>
      <c r="D215" s="3">
        <v>-1.6405885794870769</v>
      </c>
      <c r="F215" s="3">
        <v>94.25</v>
      </c>
      <c r="G215" s="3">
        <v>23.7</v>
      </c>
    </row>
    <row r="216" spans="1:7" x14ac:dyDescent="0.25">
      <c r="A216" s="3">
        <v>190</v>
      </c>
      <c r="B216" s="3">
        <v>6.051624106991679</v>
      </c>
      <c r="C216" s="3">
        <v>0.64837589300832121</v>
      </c>
      <c r="D216" s="3">
        <v>0.38760907092568403</v>
      </c>
      <c r="F216" s="3">
        <v>94.75</v>
      </c>
      <c r="G216" s="3">
        <v>23.8</v>
      </c>
    </row>
    <row r="217" spans="1:7" x14ac:dyDescent="0.25">
      <c r="A217" s="3">
        <v>191</v>
      </c>
      <c r="B217" s="3">
        <v>12.489159100639457</v>
      </c>
      <c r="C217" s="3">
        <v>-1.689159100639456</v>
      </c>
      <c r="D217" s="3">
        <v>-1.0098052637440065</v>
      </c>
      <c r="F217" s="3">
        <v>95.25</v>
      </c>
      <c r="G217" s="3">
        <v>23.8</v>
      </c>
    </row>
    <row r="218" spans="1:7" x14ac:dyDescent="0.25">
      <c r="A218" s="3">
        <v>192</v>
      </c>
      <c r="B218" s="3">
        <v>8.4240193258036822</v>
      </c>
      <c r="C218" s="3">
        <v>1.4759806741963182</v>
      </c>
      <c r="D218" s="3">
        <v>0.88236392499891614</v>
      </c>
      <c r="F218" s="3">
        <v>95.75</v>
      </c>
      <c r="G218" s="3">
        <v>24.2</v>
      </c>
    </row>
    <row r="219" spans="1:7" x14ac:dyDescent="0.25">
      <c r="A219" s="3">
        <v>193</v>
      </c>
      <c r="B219" s="3">
        <v>4.4662295605146429</v>
      </c>
      <c r="C219" s="3">
        <v>1.4337704394853574</v>
      </c>
      <c r="D219" s="3">
        <v>0.85712999814213742</v>
      </c>
      <c r="F219" s="3">
        <v>96.25</v>
      </c>
      <c r="G219" s="3">
        <v>24.4</v>
      </c>
    </row>
    <row r="220" spans="1:7" x14ac:dyDescent="0.25">
      <c r="A220" s="3">
        <v>194</v>
      </c>
      <c r="B220" s="3">
        <v>18.486957967031397</v>
      </c>
      <c r="C220" s="3">
        <v>1.1130420329686039</v>
      </c>
      <c r="D220" s="3">
        <v>0.6653936288384773</v>
      </c>
      <c r="F220" s="3">
        <v>96.75</v>
      </c>
      <c r="G220" s="3">
        <v>24.7</v>
      </c>
    </row>
    <row r="221" spans="1:7" x14ac:dyDescent="0.25">
      <c r="A221" s="3">
        <v>195</v>
      </c>
      <c r="B221" s="3">
        <v>16.495300438165646</v>
      </c>
      <c r="C221" s="3">
        <v>0.80469956183435443</v>
      </c>
      <c r="D221" s="3">
        <v>0.48106176201235801</v>
      </c>
      <c r="F221" s="3">
        <v>97.25</v>
      </c>
      <c r="G221" s="3">
        <v>25.4</v>
      </c>
    </row>
    <row r="222" spans="1:7" x14ac:dyDescent="0.25">
      <c r="A222" s="3">
        <v>196</v>
      </c>
      <c r="B222" s="3">
        <v>5.3703424844667875</v>
      </c>
      <c r="C222" s="3">
        <v>2.2296575155332121</v>
      </c>
      <c r="D222" s="3">
        <v>1.3329235207503398</v>
      </c>
      <c r="F222" s="3">
        <v>97.75</v>
      </c>
      <c r="G222" s="3">
        <v>25.4</v>
      </c>
    </row>
    <row r="223" spans="1:7" x14ac:dyDescent="0.25">
      <c r="A223" s="3">
        <v>197</v>
      </c>
      <c r="B223" s="3">
        <v>8.1653123606130116</v>
      </c>
      <c r="C223" s="3">
        <v>1.5346876393869877</v>
      </c>
      <c r="D223" s="3">
        <v>0.91745985080337822</v>
      </c>
      <c r="F223" s="3">
        <v>98.25</v>
      </c>
      <c r="G223" s="3">
        <v>25.4</v>
      </c>
    </row>
    <row r="224" spans="1:7" x14ac:dyDescent="0.25">
      <c r="A224" s="3">
        <v>198</v>
      </c>
      <c r="B224" s="3">
        <v>12.785920816932238</v>
      </c>
      <c r="C224" s="3">
        <v>1.4079183067762457E-2</v>
      </c>
      <c r="D224" s="3">
        <v>8.4167519599899591E-3</v>
      </c>
      <c r="F224" s="3">
        <v>98.75</v>
      </c>
      <c r="G224" s="3">
        <v>25.5</v>
      </c>
    </row>
    <row r="225" spans="1:7" x14ac:dyDescent="0.25">
      <c r="A225" s="3">
        <v>199</v>
      </c>
      <c r="B225" s="3">
        <v>23.767321491762818</v>
      </c>
      <c r="C225" s="3">
        <v>1.7326785082371821</v>
      </c>
      <c r="D225" s="3">
        <v>1.0358218342675103</v>
      </c>
      <c r="F225" s="3">
        <v>99.25</v>
      </c>
      <c r="G225" s="3">
        <v>26.2</v>
      </c>
    </row>
    <row r="226" spans="1:7" ht="15.75" thickBot="1" x14ac:dyDescent="0.3">
      <c r="A226" s="4">
        <v>200</v>
      </c>
      <c r="B226" s="4">
        <v>15.173195535684206</v>
      </c>
      <c r="C226" s="4">
        <v>-1.7731955356842057</v>
      </c>
      <c r="D226" s="4">
        <v>-1.0600435358063269</v>
      </c>
      <c r="F226" s="4">
        <v>99.75</v>
      </c>
      <c r="G226" s="4">
        <v>27</v>
      </c>
    </row>
  </sheetData>
  <sortState ref="G27:G226">
    <sortCondition ref="G2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1"/>
  <sheetViews>
    <sheetView zoomScale="115" zoomScaleNormal="115" workbookViewId="0">
      <selection activeCell="I15" sqref="I15"/>
    </sheetView>
  </sheetViews>
  <sheetFormatPr defaultRowHeight="15" x14ac:dyDescent="0.25"/>
  <cols>
    <col min="2" max="4" width="9.140625" style="2"/>
    <col min="5" max="5" width="9.140625" style="1"/>
    <col min="16" max="16" width="9.140625" style="1"/>
    <col min="18" max="18" width="9.140625" style="1"/>
  </cols>
  <sheetData>
    <row r="1" spans="1:21" x14ac:dyDescent="0.25">
      <c r="B1" s="2" t="s">
        <v>0</v>
      </c>
      <c r="C1" s="2" t="s">
        <v>1</v>
      </c>
      <c r="D1" s="2" t="s">
        <v>2</v>
      </c>
      <c r="E1" s="1" t="s">
        <v>3</v>
      </c>
      <c r="F1" s="2" t="s">
        <v>40</v>
      </c>
      <c r="G1" s="2" t="s">
        <v>45</v>
      </c>
      <c r="H1" s="2" t="s">
        <v>43</v>
      </c>
      <c r="I1" s="2" t="s">
        <v>44</v>
      </c>
      <c r="J1" s="2" t="s">
        <v>47</v>
      </c>
      <c r="K1" s="2" t="s">
        <v>48</v>
      </c>
      <c r="L1" s="3">
        <v>2.9388893694594174</v>
      </c>
      <c r="M1" s="3">
        <v>4.576464545539756E-2</v>
      </c>
      <c r="N1" s="3">
        <v>0.18853001691820431</v>
      </c>
      <c r="O1" t="s">
        <v>41</v>
      </c>
      <c r="P1" s="1" t="s">
        <v>3</v>
      </c>
      <c r="Q1" t="s">
        <v>42</v>
      </c>
      <c r="R1" s="1" t="s">
        <v>3</v>
      </c>
    </row>
    <row r="2" spans="1:21" x14ac:dyDescent="0.25">
      <c r="A2">
        <v>1</v>
      </c>
      <c r="B2" s="2">
        <v>230.1</v>
      </c>
      <c r="C2" s="2">
        <v>37.799999999999997</v>
      </c>
      <c r="D2" s="2">
        <v>69.2</v>
      </c>
      <c r="E2" s="1">
        <v>22.1</v>
      </c>
      <c r="F2">
        <f>$L$1+advertising!$M$1*advertising!B2+advertising!$N$1*advertising!C2</f>
        <v>20.595768928254518</v>
      </c>
      <c r="G2">
        <f>(E2-F2)^2</f>
        <v>2.2627111172045651</v>
      </c>
      <c r="H2">
        <f>(E2-AVERAGE($E$2:$E$201))^2</f>
        <v>65.246006249999979</v>
      </c>
      <c r="I2">
        <f>(F2-AVERAGE($E$2:$E$201))^2</f>
        <v>43.207864403156265</v>
      </c>
      <c r="J2">
        <f>SUM(H2:H201)</f>
        <v>5417.1487499999976</v>
      </c>
      <c r="K2">
        <f>SUM(I2:I201)</f>
        <v>4871.3378347682892</v>
      </c>
      <c r="O2">
        <f>1/B2</f>
        <v>4.3459365493263803E-3</v>
      </c>
      <c r="P2" s="1">
        <v>22.1</v>
      </c>
      <c r="Q2">
        <f>LN(B2)</f>
        <v>5.4385139970413201</v>
      </c>
      <c r="R2" s="1">
        <v>22.1</v>
      </c>
      <c r="T2" t="s">
        <v>4</v>
      </c>
      <c r="U2" t="s">
        <v>5</v>
      </c>
    </row>
    <row r="3" spans="1:21" x14ac:dyDescent="0.25">
      <c r="A3">
        <v>2</v>
      </c>
      <c r="B3" s="2">
        <v>44.5</v>
      </c>
      <c r="C3" s="2">
        <v>39.299999999999997</v>
      </c>
      <c r="D3" s="2">
        <v>45.1</v>
      </c>
      <c r="E3" s="1">
        <v>10.4</v>
      </c>
      <c r="F3">
        <f>$L$1+advertising!$M$1*advertising!B3+advertising!$N$1*advertising!C3</f>
        <v>12.384645757110039</v>
      </c>
      <c r="G3">
        <f t="shared" ref="G3:G66" si="0">(E3-F3)^2</f>
        <v>3.9388187812148803</v>
      </c>
      <c r="H3">
        <f t="shared" ref="H3:H66" si="1">(E3-AVERAGE($E$2:$E$201))^2</f>
        <v>13.122506250000017</v>
      </c>
      <c r="I3">
        <f t="shared" ref="I3:I66" si="2">(F3-AVERAGE($E$2:$E$201))^2</f>
        <v>2.6825665209526544</v>
      </c>
      <c r="K3">
        <f>J2-K2</f>
        <v>545.81091523170835</v>
      </c>
      <c r="O3">
        <f t="shared" ref="O3:O66" si="3">1/B3</f>
        <v>2.247191011235955E-2</v>
      </c>
      <c r="P3" s="1">
        <v>10.4</v>
      </c>
      <c r="Q3">
        <f t="shared" ref="Q3:Q66" si="4">LN(B3)</f>
        <v>3.7954891891721947</v>
      </c>
      <c r="R3" s="1">
        <v>10.4</v>
      </c>
      <c r="T3" t="s">
        <v>6</v>
      </c>
      <c r="U3" t="s">
        <v>7</v>
      </c>
    </row>
    <row r="4" spans="1:21" x14ac:dyDescent="0.25">
      <c r="A4">
        <v>3</v>
      </c>
      <c r="B4" s="2">
        <v>17.2</v>
      </c>
      <c r="C4" s="2">
        <v>45.9</v>
      </c>
      <c r="D4" s="2">
        <v>69.3</v>
      </c>
      <c r="E4" s="1">
        <v>9.3000000000000007</v>
      </c>
      <c r="F4">
        <f>$L$1+advertising!$M$1*advertising!B4+advertising!$N$1*advertising!C4</f>
        <v>12.379569047837833</v>
      </c>
      <c r="G4">
        <f t="shared" si="0"/>
        <v>9.4837455204008148</v>
      </c>
      <c r="H4">
        <f t="shared" si="1"/>
        <v>22.302006250000019</v>
      </c>
      <c r="I4">
        <f t="shared" si="2"/>
        <v>2.6992221135724925</v>
      </c>
      <c r="K4">
        <f>SUM(G2:G201)</f>
        <v>557.12783313183672</v>
      </c>
      <c r="O4">
        <f t="shared" si="3"/>
        <v>5.8139534883720929E-2</v>
      </c>
      <c r="P4" s="1">
        <v>9.3000000000000007</v>
      </c>
      <c r="Q4">
        <f t="shared" si="4"/>
        <v>2.8449093838194073</v>
      </c>
      <c r="R4" s="1">
        <v>9.3000000000000007</v>
      </c>
    </row>
    <row r="5" spans="1:21" x14ac:dyDescent="0.25">
      <c r="A5">
        <v>4</v>
      </c>
      <c r="B5" s="2">
        <v>151.5</v>
      </c>
      <c r="C5" s="2">
        <v>41.3</v>
      </c>
      <c r="D5" s="2">
        <v>58.5</v>
      </c>
      <c r="E5" s="1">
        <v>18.5</v>
      </c>
      <c r="F5">
        <f>$L$1+advertising!$M$1*advertising!B5+advertising!$N$1*advertising!C5</f>
        <v>17.658522854673986</v>
      </c>
      <c r="G5">
        <f t="shared" si="0"/>
        <v>0.70808378610601719</v>
      </c>
      <c r="H5">
        <f t="shared" si="1"/>
        <v>20.048006249999975</v>
      </c>
      <c r="I5">
        <f t="shared" si="2"/>
        <v>13.220662199711546</v>
      </c>
      <c r="L5">
        <f>(K2/J2)</f>
        <v>0.89924387525232552</v>
      </c>
      <c r="O5">
        <f t="shared" si="3"/>
        <v>6.6006600660066007E-3</v>
      </c>
      <c r="P5" s="1">
        <v>18.5</v>
      </c>
      <c r="Q5">
        <f t="shared" si="4"/>
        <v>5.0205856249494234</v>
      </c>
      <c r="R5" s="1">
        <v>18.5</v>
      </c>
      <c r="T5" t="s">
        <v>4</v>
      </c>
      <c r="U5" t="s">
        <v>8</v>
      </c>
    </row>
    <row r="6" spans="1:21" x14ac:dyDescent="0.25">
      <c r="A6">
        <v>5</v>
      </c>
      <c r="B6" s="2">
        <v>180.8</v>
      </c>
      <c r="C6" s="2">
        <v>10.8</v>
      </c>
      <c r="D6" s="2">
        <v>58.4</v>
      </c>
      <c r="E6" s="1">
        <v>12.9</v>
      </c>
      <c r="F6">
        <f>$L$1+advertising!$M$1*advertising!B6+advertising!$N$1*advertising!C6</f>
        <v>13.249261450511904</v>
      </c>
      <c r="G6">
        <f t="shared" si="0"/>
        <v>0.12198356081367889</v>
      </c>
      <c r="H6">
        <f t="shared" si="1"/>
        <v>1.2600062500000051</v>
      </c>
      <c r="I6">
        <f t="shared" si="2"/>
        <v>0.59789785441445886</v>
      </c>
      <c r="O6">
        <f t="shared" si="3"/>
        <v>5.5309734513274336E-3</v>
      </c>
      <c r="P6" s="1">
        <v>12.9</v>
      </c>
      <c r="Q6">
        <f t="shared" si="4"/>
        <v>5.1973914479580765</v>
      </c>
      <c r="R6" s="1">
        <v>12.9</v>
      </c>
    </row>
    <row r="7" spans="1:21" x14ac:dyDescent="0.25">
      <c r="A7">
        <v>6</v>
      </c>
      <c r="B7" s="2">
        <v>8.6999999999999993</v>
      </c>
      <c r="C7" s="2">
        <v>48.9</v>
      </c>
      <c r="D7" s="2">
        <v>75</v>
      </c>
      <c r="E7" s="1">
        <v>7.2</v>
      </c>
      <c r="F7">
        <f>$L$1+advertising!$M$1*advertising!B7+advertising!$N$1*advertising!C7</f>
        <v>12.556159612221567</v>
      </c>
      <c r="G7">
        <f t="shared" si="0"/>
        <v>28.688445791593484</v>
      </c>
      <c r="H7">
        <f t="shared" si="1"/>
        <v>46.546506250000036</v>
      </c>
      <c r="I7">
        <f t="shared" si="2"/>
        <v>2.1501541328302136</v>
      </c>
      <c r="O7">
        <f t="shared" si="3"/>
        <v>0.1149425287356322</v>
      </c>
      <c r="P7" s="1">
        <v>7.2</v>
      </c>
      <c r="Q7">
        <f t="shared" si="4"/>
        <v>2.1633230256605378</v>
      </c>
      <c r="R7" s="1">
        <v>7.2</v>
      </c>
    </row>
    <row r="8" spans="1:21" x14ac:dyDescent="0.25">
      <c r="A8">
        <v>7</v>
      </c>
      <c r="B8" s="2">
        <v>57.5</v>
      </c>
      <c r="C8" s="2">
        <v>32.799999999999997</v>
      </c>
      <c r="D8" s="2">
        <v>23.5</v>
      </c>
      <c r="E8" s="1">
        <v>11.8</v>
      </c>
      <c r="F8">
        <f>$L$1+advertising!$M$1*advertising!B8+advertising!$N$1*advertising!C8</f>
        <v>11.754141038061878</v>
      </c>
      <c r="G8">
        <f t="shared" si="0"/>
        <v>2.1030443900422039E-3</v>
      </c>
      <c r="H8">
        <f t="shared" si="1"/>
        <v>4.9395062500000089</v>
      </c>
      <c r="I8">
        <f t="shared" si="2"/>
        <v>5.1454523802050067</v>
      </c>
      <c r="O8">
        <f t="shared" si="3"/>
        <v>1.7391304347826087E-2</v>
      </c>
      <c r="P8" s="1">
        <v>11.8</v>
      </c>
      <c r="Q8">
        <f t="shared" si="4"/>
        <v>4.0517849478033048</v>
      </c>
      <c r="R8" s="1">
        <v>11.8</v>
      </c>
    </row>
    <row r="9" spans="1:21" x14ac:dyDescent="0.25">
      <c r="A9">
        <v>8</v>
      </c>
      <c r="B9" s="2">
        <v>120.2</v>
      </c>
      <c r="C9" s="2">
        <v>19.600000000000001</v>
      </c>
      <c r="D9" s="2">
        <v>11.6</v>
      </c>
      <c r="E9" s="1">
        <v>13.2</v>
      </c>
      <c r="F9">
        <f>$L$1+advertising!$M$1*advertising!B9+advertising!$N$1*advertising!C9</f>
        <v>12.13498808479501</v>
      </c>
      <c r="G9">
        <f t="shared" si="0"/>
        <v>1.1342503795285992</v>
      </c>
      <c r="H9">
        <f t="shared" si="1"/>
        <v>0.67650625000000553</v>
      </c>
      <c r="I9">
        <f t="shared" si="2"/>
        <v>3.5627012300408194</v>
      </c>
      <c r="K9" t="s">
        <v>46</v>
      </c>
      <c r="O9">
        <f t="shared" si="3"/>
        <v>8.3194675540765387E-3</v>
      </c>
      <c r="P9" s="1">
        <v>13.2</v>
      </c>
      <c r="Q9">
        <f t="shared" si="4"/>
        <v>4.7891570221011071</v>
      </c>
      <c r="R9" s="1">
        <v>13.2</v>
      </c>
    </row>
    <row r="10" spans="1:21" x14ac:dyDescent="0.25">
      <c r="A10">
        <v>9</v>
      </c>
      <c r="B10" s="2">
        <v>8.6</v>
      </c>
      <c r="C10" s="2">
        <v>2.1</v>
      </c>
      <c r="D10" s="2">
        <v>1</v>
      </c>
      <c r="E10" s="1">
        <v>4.8</v>
      </c>
      <c r="F10">
        <f>$L$1+advertising!$M$1*advertising!B10+advertising!$N$1*advertising!C10</f>
        <v>3.7283783559040655</v>
      </c>
      <c r="G10">
        <f t="shared" si="0"/>
        <v>1.1483729480948732</v>
      </c>
      <c r="H10">
        <f t="shared" si="1"/>
        <v>85.054506250000074</v>
      </c>
      <c r="I10">
        <f t="shared" si="2"/>
        <v>105.96894042344445</v>
      </c>
      <c r="K10" s="2">
        <v>230.1</v>
      </c>
      <c r="L10" s="2">
        <v>37.799999999999997</v>
      </c>
      <c r="M10" s="2">
        <v>69.2</v>
      </c>
      <c r="O10">
        <f t="shared" si="3"/>
        <v>0.11627906976744186</v>
      </c>
      <c r="P10" s="1">
        <v>4.8</v>
      </c>
      <c r="Q10">
        <f t="shared" si="4"/>
        <v>2.1517622032594619</v>
      </c>
      <c r="R10" s="1">
        <v>4.8</v>
      </c>
    </row>
    <row r="11" spans="1:21" x14ac:dyDescent="0.25">
      <c r="A11">
        <v>10</v>
      </c>
      <c r="B11" s="2">
        <v>199.8</v>
      </c>
      <c r="C11" s="2">
        <v>2.6</v>
      </c>
      <c r="D11" s="2">
        <v>21.2</v>
      </c>
      <c r="E11" s="1">
        <v>10.6</v>
      </c>
      <c r="F11">
        <f>$L$1+advertising!$M$1*advertising!B11+advertising!$N$1*advertising!C11</f>
        <v>12.572843575435181</v>
      </c>
      <c r="G11">
        <f t="shared" si="0"/>
        <v>3.8921117731358703</v>
      </c>
      <c r="H11">
        <f t="shared" si="1"/>
        <v>11.71350625000002</v>
      </c>
      <c r="I11">
        <f t="shared" si="2"/>
        <v>2.1015037492820623</v>
      </c>
      <c r="O11">
        <f t="shared" si="3"/>
        <v>5.005005005005005E-3</v>
      </c>
      <c r="P11" s="1">
        <v>10.6</v>
      </c>
      <c r="Q11">
        <f t="shared" si="4"/>
        <v>5.2973168662144534</v>
      </c>
      <c r="R11" s="1">
        <v>10.6</v>
      </c>
    </row>
    <row r="12" spans="1:21" x14ac:dyDescent="0.25">
      <c r="A12">
        <v>11</v>
      </c>
      <c r="B12" s="2">
        <v>66.099999999999994</v>
      </c>
      <c r="C12" s="2">
        <v>5.8</v>
      </c>
      <c r="D12" s="2">
        <v>24.2</v>
      </c>
      <c r="E12" s="1">
        <v>8.6</v>
      </c>
      <c r="F12">
        <f>$L$1+advertising!$M$1*advertising!B12+advertising!$N$1*advertising!C12</f>
        <v>7.0574065321867803</v>
      </c>
      <c r="G12">
        <f t="shared" si="0"/>
        <v>2.3795946069400138</v>
      </c>
      <c r="H12">
        <f t="shared" si="1"/>
        <v>29.403506250000031</v>
      </c>
      <c r="I12">
        <f t="shared" si="2"/>
        <v>48.512527015374417</v>
      </c>
      <c r="K12">
        <f>_xlfn.STDEV.S(F2:F201)^2</f>
        <v>24.478074685008721</v>
      </c>
      <c r="O12">
        <f t="shared" si="3"/>
        <v>1.5128593040847203E-2</v>
      </c>
      <c r="P12" s="1">
        <v>8.6</v>
      </c>
      <c r="Q12">
        <f t="shared" si="4"/>
        <v>4.1911687468576408</v>
      </c>
      <c r="R12" s="1">
        <v>8.6</v>
      </c>
    </row>
    <row r="13" spans="1:21" x14ac:dyDescent="0.25">
      <c r="A13">
        <v>12</v>
      </c>
      <c r="B13" s="2">
        <v>214.7</v>
      </c>
      <c r="C13" s="2">
        <v>24</v>
      </c>
      <c r="D13" s="2">
        <v>4</v>
      </c>
      <c r="E13" s="1">
        <v>17.399999999999999</v>
      </c>
      <c r="F13">
        <f>$L$1+advertising!$M$1*advertising!B13+advertising!$N$1*advertising!C13</f>
        <v>17.289279154770178</v>
      </c>
      <c r="G13">
        <f t="shared" si="0"/>
        <v>1.2259105568405966E-2</v>
      </c>
      <c r="H13">
        <f t="shared" si="1"/>
        <v>11.407506249999972</v>
      </c>
      <c r="I13">
        <f t="shared" si="2"/>
        <v>10.671846046040939</v>
      </c>
      <c r="O13">
        <f t="shared" si="3"/>
        <v>4.657661853749418E-3</v>
      </c>
      <c r="P13" s="1">
        <v>17.399999999999999</v>
      </c>
      <c r="Q13">
        <f t="shared" si="4"/>
        <v>5.3692417048847352</v>
      </c>
      <c r="R13" s="1">
        <v>17.399999999999999</v>
      </c>
    </row>
    <row r="14" spans="1:21" x14ac:dyDescent="0.25">
      <c r="A14">
        <v>13</v>
      </c>
      <c r="B14" s="2">
        <v>23.8</v>
      </c>
      <c r="C14" s="2">
        <v>35.1</v>
      </c>
      <c r="D14" s="2">
        <v>65.900000000000006</v>
      </c>
      <c r="E14" s="1">
        <v>9.1999999999999993</v>
      </c>
      <c r="F14">
        <f>$L$1+advertising!$M$1*advertising!B14+advertising!$N$1*advertising!C14</f>
        <v>10.64549152512685</v>
      </c>
      <c r="G14">
        <f t="shared" si="0"/>
        <v>2.0894457492135494</v>
      </c>
      <c r="H14">
        <f t="shared" si="1"/>
        <v>23.256506250000033</v>
      </c>
      <c r="I14">
        <f t="shared" si="2"/>
        <v>11.404186239365094</v>
      </c>
      <c r="O14">
        <f t="shared" si="3"/>
        <v>4.2016806722689072E-2</v>
      </c>
      <c r="P14" s="1">
        <v>9.1999999999999993</v>
      </c>
      <c r="Q14">
        <f t="shared" si="4"/>
        <v>3.1696855806774291</v>
      </c>
      <c r="R14" s="1">
        <v>9.1999999999999993</v>
      </c>
    </row>
    <row r="15" spans="1:21" x14ac:dyDescent="0.25">
      <c r="A15">
        <v>14</v>
      </c>
      <c r="B15" s="2">
        <v>97.5</v>
      </c>
      <c r="C15" s="2">
        <v>7.6</v>
      </c>
      <c r="D15" s="2">
        <v>7.2</v>
      </c>
      <c r="E15" s="1">
        <v>9.6999999999999993</v>
      </c>
      <c r="F15">
        <f>$L$1+advertising!$M$1*advertising!B15+advertising!$N$1*advertising!C15</f>
        <v>8.8337704299390314</v>
      </c>
      <c r="G15">
        <f t="shared" si="0"/>
        <v>0.75035366804800929</v>
      </c>
      <c r="H15">
        <f t="shared" si="1"/>
        <v>18.684006250000028</v>
      </c>
      <c r="I15">
        <f t="shared" si="2"/>
        <v>26.922914551225112</v>
      </c>
      <c r="O15">
        <f t="shared" si="3"/>
        <v>1.0256410256410256E-2</v>
      </c>
      <c r="P15" s="1">
        <v>9.6999999999999993</v>
      </c>
      <c r="Q15">
        <f t="shared" si="4"/>
        <v>4.5798523780038014</v>
      </c>
      <c r="R15" s="1">
        <v>9.6999999999999993</v>
      </c>
    </row>
    <row r="16" spans="1:21" x14ac:dyDescent="0.25">
      <c r="A16">
        <v>15</v>
      </c>
      <c r="B16" s="2">
        <v>204.1</v>
      </c>
      <c r="C16" s="2">
        <v>32.9</v>
      </c>
      <c r="D16" s="2">
        <v>46</v>
      </c>
      <c r="E16" s="1">
        <v>19</v>
      </c>
      <c r="F16">
        <f>$L$1+advertising!$M$1*advertising!B16+advertising!$N$1*advertising!C16</f>
        <v>18.482091063514979</v>
      </c>
      <c r="G16">
        <f t="shared" si="0"/>
        <v>0.26822966649104585</v>
      </c>
      <c r="H16">
        <f t="shared" si="1"/>
        <v>24.775506249999975</v>
      </c>
      <c r="I16">
        <f t="shared" si="2"/>
        <v>19.887952453782635</v>
      </c>
      <c r="O16">
        <f t="shared" si="3"/>
        <v>4.8995590396864281E-3</v>
      </c>
      <c r="P16" s="1">
        <v>19</v>
      </c>
      <c r="Q16">
        <f t="shared" si="4"/>
        <v>5.318610069815799</v>
      </c>
      <c r="R16" s="1">
        <v>19</v>
      </c>
    </row>
    <row r="17" spans="1:18" x14ac:dyDescent="0.25">
      <c r="A17">
        <v>16</v>
      </c>
      <c r="B17" s="2">
        <v>195.4</v>
      </c>
      <c r="C17" s="2">
        <v>47.7</v>
      </c>
      <c r="D17" s="2">
        <v>52.9</v>
      </c>
      <c r="E17" s="1">
        <v>22.4</v>
      </c>
      <c r="F17">
        <f>$L$1+advertising!$M$1*advertising!B17+advertising!$N$1*advertising!C17</f>
        <v>20.874182898442449</v>
      </c>
      <c r="G17">
        <f t="shared" si="0"/>
        <v>2.3281178274054826</v>
      </c>
      <c r="H17">
        <f t="shared" si="1"/>
        <v>70.182506249999932</v>
      </c>
      <c r="I17">
        <f t="shared" si="2"/>
        <v>46.945558540808676</v>
      </c>
      <c r="O17">
        <f t="shared" si="3"/>
        <v>5.1177072671443188E-3</v>
      </c>
      <c r="P17" s="1">
        <v>22.4</v>
      </c>
      <c r="Q17">
        <f t="shared" si="4"/>
        <v>5.2750487396086827</v>
      </c>
      <c r="R17" s="1">
        <v>22.4</v>
      </c>
    </row>
    <row r="18" spans="1:18" x14ac:dyDescent="0.25">
      <c r="A18">
        <v>17</v>
      </c>
      <c r="B18" s="2">
        <v>67.8</v>
      </c>
      <c r="C18" s="2">
        <v>36.6</v>
      </c>
      <c r="D18" s="2">
        <v>114</v>
      </c>
      <c r="E18" s="1">
        <v>12.5</v>
      </c>
      <c r="F18">
        <f>$L$1+advertising!$M$1*advertising!B18+advertising!$N$1*advertising!C18</f>
        <v>12.94193095054165</v>
      </c>
      <c r="G18">
        <f t="shared" si="0"/>
        <v>0.19530296504664629</v>
      </c>
      <c r="H18">
        <f t="shared" si="1"/>
        <v>2.3180062500000078</v>
      </c>
      <c r="I18">
        <f t="shared" si="2"/>
        <v>1.1676294706473278</v>
      </c>
      <c r="O18">
        <f t="shared" si="3"/>
        <v>1.4749262536873156E-2</v>
      </c>
      <c r="P18" s="1">
        <v>12.5</v>
      </c>
      <c r="Q18">
        <f t="shared" si="4"/>
        <v>4.2165621949463494</v>
      </c>
      <c r="R18" s="1">
        <v>12.5</v>
      </c>
    </row>
    <row r="19" spans="1:18" x14ac:dyDescent="0.25">
      <c r="A19">
        <v>18</v>
      </c>
      <c r="B19" s="2">
        <v>281.39999999999998</v>
      </c>
      <c r="C19" s="2">
        <v>39.6</v>
      </c>
      <c r="D19" s="2">
        <v>55.8</v>
      </c>
      <c r="E19" s="1">
        <v>24.4</v>
      </c>
      <c r="F19">
        <f>$L$1+advertising!$M$1*advertising!B19+advertising!$N$1*advertising!C19</f>
        <v>23.28284927056918</v>
      </c>
      <c r="G19">
        <f t="shared" si="0"/>
        <v>1.2480257522678098</v>
      </c>
      <c r="H19">
        <f t="shared" si="1"/>
        <v>107.69250624999992</v>
      </c>
      <c r="I19">
        <f t="shared" si="2"/>
        <v>85.754068612931093</v>
      </c>
      <c r="O19">
        <f t="shared" si="3"/>
        <v>3.5536602700781809E-3</v>
      </c>
      <c r="P19" s="1">
        <v>24.4</v>
      </c>
      <c r="Q19">
        <f t="shared" si="4"/>
        <v>5.6397771446802887</v>
      </c>
      <c r="R19" s="1">
        <v>24.4</v>
      </c>
    </row>
    <row r="20" spans="1:18" x14ac:dyDescent="0.25">
      <c r="A20">
        <v>19</v>
      </c>
      <c r="B20" s="2">
        <v>69.2</v>
      </c>
      <c r="C20" s="2">
        <v>20.5</v>
      </c>
      <c r="D20" s="2">
        <v>18.3</v>
      </c>
      <c r="E20" s="1">
        <v>11.3</v>
      </c>
      <c r="F20">
        <f>$L$1+advertising!$M$1*advertising!B20+advertising!$N$1*advertising!C20</f>
        <v>9.9706681817961176</v>
      </c>
      <c r="G20">
        <f t="shared" si="0"/>
        <v>1.7671230828892417</v>
      </c>
      <c r="H20">
        <f t="shared" si="1"/>
        <v>7.4120062500000108</v>
      </c>
      <c r="I20">
        <f t="shared" si="2"/>
        <v>16.417341083009401</v>
      </c>
      <c r="O20">
        <f t="shared" si="3"/>
        <v>1.4450867052023121E-2</v>
      </c>
      <c r="P20" s="1">
        <v>11.3</v>
      </c>
      <c r="Q20">
        <f t="shared" si="4"/>
        <v>4.2370008626236242</v>
      </c>
      <c r="R20" s="1">
        <v>11.3</v>
      </c>
    </row>
    <row r="21" spans="1:18" x14ac:dyDescent="0.25">
      <c r="A21">
        <v>20</v>
      </c>
      <c r="B21" s="2">
        <v>147.30000000000001</v>
      </c>
      <c r="C21" s="2">
        <v>23.9</v>
      </c>
      <c r="D21" s="2">
        <v>19.100000000000001</v>
      </c>
      <c r="E21" s="1">
        <v>14.6</v>
      </c>
      <c r="F21">
        <f>$L$1+advertising!$M$1*advertising!B21+advertising!$N$1*advertising!C21</f>
        <v>14.18588904938456</v>
      </c>
      <c r="G21">
        <f t="shared" si="0"/>
        <v>0.17148787941962312</v>
      </c>
      <c r="H21">
        <f t="shared" si="1"/>
        <v>0.33350624999999656</v>
      </c>
      <c r="I21">
        <f t="shared" si="2"/>
        <v>2.6695981458789316E-2</v>
      </c>
      <c r="O21">
        <f t="shared" si="3"/>
        <v>6.7888662593346902E-3</v>
      </c>
      <c r="P21" s="1">
        <v>14.6</v>
      </c>
      <c r="Q21">
        <f t="shared" si="4"/>
        <v>4.9924713234685845</v>
      </c>
      <c r="R21" s="1">
        <v>14.6</v>
      </c>
    </row>
    <row r="22" spans="1:18" x14ac:dyDescent="0.25">
      <c r="A22">
        <v>21</v>
      </c>
      <c r="B22" s="2">
        <v>218.4</v>
      </c>
      <c r="C22" s="2">
        <v>27.7</v>
      </c>
      <c r="D22" s="2">
        <v>53.4</v>
      </c>
      <c r="E22" s="1">
        <v>18</v>
      </c>
      <c r="F22">
        <f>$L$1+advertising!$M$1*advertising!B22+advertising!$N$1*advertising!C22</f>
        <v>18.156169405552504</v>
      </c>
      <c r="G22">
        <f t="shared" si="0"/>
        <v>2.4388883230622407E-2</v>
      </c>
      <c r="H22">
        <f t="shared" si="1"/>
        <v>15.82050624999998</v>
      </c>
      <c r="I22">
        <f t="shared" si="2"/>
        <v>17.08722275440077</v>
      </c>
      <c r="O22">
        <f t="shared" si="3"/>
        <v>4.578754578754579E-3</v>
      </c>
      <c r="P22" s="1">
        <v>18</v>
      </c>
      <c r="Q22">
        <f t="shared" si="4"/>
        <v>5.38632824387075</v>
      </c>
      <c r="R22" s="1">
        <v>18</v>
      </c>
    </row>
    <row r="23" spans="1:18" x14ac:dyDescent="0.25">
      <c r="A23">
        <v>22</v>
      </c>
      <c r="B23" s="2">
        <v>237.4</v>
      </c>
      <c r="C23" s="2">
        <v>5.0999999999999996</v>
      </c>
      <c r="D23" s="2">
        <v>23.5</v>
      </c>
      <c r="E23" s="1">
        <v>12.5</v>
      </c>
      <c r="F23">
        <f>$L$1+advertising!$M$1*advertising!B23+advertising!$N$1*advertising!C23</f>
        <v>14.76491928685364</v>
      </c>
      <c r="G23">
        <f t="shared" si="0"/>
        <v>5.1298593759616029</v>
      </c>
      <c r="H23">
        <f t="shared" si="1"/>
        <v>2.3180062500000078</v>
      </c>
      <c r="I23">
        <f t="shared" si="2"/>
        <v>0.55118639749226395</v>
      </c>
      <c r="O23">
        <f t="shared" si="3"/>
        <v>4.2122999157540014E-3</v>
      </c>
      <c r="P23" s="1">
        <v>12.5</v>
      </c>
      <c r="Q23">
        <f t="shared" si="4"/>
        <v>5.4697464821755677</v>
      </c>
      <c r="R23" s="1">
        <v>12.5</v>
      </c>
    </row>
    <row r="24" spans="1:18" x14ac:dyDescent="0.25">
      <c r="A24">
        <v>23</v>
      </c>
      <c r="B24" s="2">
        <v>13.2</v>
      </c>
      <c r="C24" s="2">
        <v>15.9</v>
      </c>
      <c r="D24" s="2">
        <v>49.6</v>
      </c>
      <c r="E24" s="1">
        <v>5.6</v>
      </c>
      <c r="F24">
        <f>$L$1+advertising!$M$1*advertising!B24+advertising!$N$1*advertising!C24</f>
        <v>6.5406099584701138</v>
      </c>
      <c r="G24">
        <f t="shared" si="0"/>
        <v>0.88474709397314999</v>
      </c>
      <c r="H24">
        <f t="shared" si="1"/>
        <v>70.938506250000046</v>
      </c>
      <c r="I24">
        <f t="shared" si="2"/>
        <v>55.978678593544124</v>
      </c>
      <c r="O24">
        <f t="shared" si="3"/>
        <v>7.575757575757576E-2</v>
      </c>
      <c r="P24" s="1">
        <v>5.6</v>
      </c>
      <c r="Q24">
        <f t="shared" si="4"/>
        <v>2.5802168295923251</v>
      </c>
      <c r="R24" s="1">
        <v>5.6</v>
      </c>
    </row>
    <row r="25" spans="1:18" x14ac:dyDescent="0.25">
      <c r="A25">
        <v>24</v>
      </c>
      <c r="B25" s="2">
        <v>228.3</v>
      </c>
      <c r="C25" s="2">
        <v>16.899999999999999</v>
      </c>
      <c r="D25" s="2">
        <v>26.2</v>
      </c>
      <c r="E25" s="1">
        <v>15.5</v>
      </c>
      <c r="F25">
        <f>$L$1+advertising!$M$1*advertising!B25+advertising!$N$1*advertising!C25</f>
        <v>16.573115212844332</v>
      </c>
      <c r="G25">
        <f t="shared" si="0"/>
        <v>1.151576260037936</v>
      </c>
      <c r="H25">
        <f t="shared" si="1"/>
        <v>2.183006249999992</v>
      </c>
      <c r="I25">
        <f t="shared" si="2"/>
        <v>6.5056379639929238</v>
      </c>
      <c r="O25">
        <f t="shared" si="3"/>
        <v>4.3802014892685062E-3</v>
      </c>
      <c r="P25" s="1">
        <v>15.5</v>
      </c>
      <c r="Q25">
        <f t="shared" si="4"/>
        <v>5.4306605535357502</v>
      </c>
      <c r="R25" s="1">
        <v>15.5</v>
      </c>
    </row>
    <row r="26" spans="1:18" x14ac:dyDescent="0.25">
      <c r="A26">
        <v>25</v>
      </c>
      <c r="B26" s="2">
        <v>62.3</v>
      </c>
      <c r="C26" s="2">
        <v>12.6</v>
      </c>
      <c r="D26" s="2">
        <v>18.3</v>
      </c>
      <c r="E26" s="1">
        <v>9.6999999999999993</v>
      </c>
      <c r="F26">
        <f>$L$1+advertising!$M$1*advertising!B26+advertising!$N$1*advertising!C26</f>
        <v>8.1655049945000595</v>
      </c>
      <c r="G26">
        <f t="shared" si="0"/>
        <v>2.3546749219042602</v>
      </c>
      <c r="H26">
        <f t="shared" si="1"/>
        <v>18.684006250000028</v>
      </c>
      <c r="I26">
        <f t="shared" si="2"/>
        <v>34.304390494451276</v>
      </c>
      <c r="O26">
        <f t="shared" si="3"/>
        <v>1.605136436597111E-2</v>
      </c>
      <c r="P26" s="1">
        <v>9.6999999999999993</v>
      </c>
      <c r="Q26">
        <f t="shared" si="4"/>
        <v>4.1319614257934072</v>
      </c>
      <c r="R26" s="1">
        <v>9.6999999999999993</v>
      </c>
    </row>
    <row r="27" spans="1:18" x14ac:dyDescent="0.25">
      <c r="A27">
        <v>26</v>
      </c>
      <c r="B27" s="2">
        <v>262.89999999999998</v>
      </c>
      <c r="C27" s="2">
        <v>3.5</v>
      </c>
      <c r="D27" s="2">
        <v>19.5</v>
      </c>
      <c r="E27" s="1">
        <v>12</v>
      </c>
      <c r="F27">
        <f>$L$1+advertising!$M$1*advertising!B27+advertising!$N$1*advertising!C27</f>
        <v>15.63026971889715</v>
      </c>
      <c r="G27">
        <f t="shared" si="0"/>
        <v>13.178858231941593</v>
      </c>
      <c r="H27">
        <f t="shared" si="1"/>
        <v>4.0905062500000104</v>
      </c>
      <c r="I27">
        <f t="shared" si="2"/>
        <v>2.5849234690026122</v>
      </c>
      <c r="O27">
        <f t="shared" si="3"/>
        <v>3.8037276531000383E-3</v>
      </c>
      <c r="P27" s="1">
        <v>12</v>
      </c>
      <c r="Q27">
        <f t="shared" si="4"/>
        <v>5.5717737317358358</v>
      </c>
      <c r="R27" s="1">
        <v>12</v>
      </c>
    </row>
    <row r="28" spans="1:18" x14ac:dyDescent="0.25">
      <c r="A28">
        <v>27</v>
      </c>
      <c r="B28" s="2">
        <v>142.9</v>
      </c>
      <c r="C28" s="2">
        <v>29.3</v>
      </c>
      <c r="D28" s="2">
        <v>12.6</v>
      </c>
      <c r="E28" s="1">
        <v>15</v>
      </c>
      <c r="F28">
        <f>$L$1+advertising!$M$1*advertising!B28+advertising!$N$1*advertising!C28</f>
        <v>15.002586700739116</v>
      </c>
      <c r="G28">
        <f t="shared" si="0"/>
        <v>6.6910207137411886E-6</v>
      </c>
      <c r="H28">
        <f t="shared" si="1"/>
        <v>0.95550624999999489</v>
      </c>
      <c r="I28">
        <f t="shared" si="2"/>
        <v>0.9605699409656796</v>
      </c>
      <c r="O28">
        <f t="shared" si="3"/>
        <v>6.9979006298110562E-3</v>
      </c>
      <c r="P28" s="1">
        <v>15</v>
      </c>
      <c r="Q28">
        <f t="shared" si="4"/>
        <v>4.9621450849358215</v>
      </c>
      <c r="R28" s="1">
        <v>15</v>
      </c>
    </row>
    <row r="29" spans="1:18" x14ac:dyDescent="0.25">
      <c r="A29">
        <v>28</v>
      </c>
      <c r="B29" s="2">
        <v>240.1</v>
      </c>
      <c r="C29" s="2">
        <v>16.7</v>
      </c>
      <c r="D29" s="2">
        <v>22.9</v>
      </c>
      <c r="E29" s="1">
        <v>15.9</v>
      </c>
      <c r="F29">
        <f>$L$1+advertising!$M$1*advertising!B29+advertising!$N$1*advertising!C29</f>
        <v>17.075432025834381</v>
      </c>
      <c r="G29">
        <f t="shared" si="0"/>
        <v>1.3816404473571162</v>
      </c>
      <c r="H29">
        <f t="shared" si="1"/>
        <v>3.5250062499999917</v>
      </c>
      <c r="I29">
        <f t="shared" si="2"/>
        <v>9.3203939543652012</v>
      </c>
      <c r="O29">
        <f t="shared" si="3"/>
        <v>4.1649312786339026E-3</v>
      </c>
      <c r="P29" s="1">
        <v>15.9</v>
      </c>
      <c r="Q29">
        <f t="shared" si="4"/>
        <v>5.4810555032272079</v>
      </c>
      <c r="R29" s="1">
        <v>15.9</v>
      </c>
    </row>
    <row r="30" spans="1:18" x14ac:dyDescent="0.25">
      <c r="A30">
        <v>29</v>
      </c>
      <c r="B30" s="2">
        <v>248.8</v>
      </c>
      <c r="C30" s="2">
        <v>27.1</v>
      </c>
      <c r="D30" s="2">
        <v>22.9</v>
      </c>
      <c r="E30" s="1">
        <v>18.899999999999999</v>
      </c>
      <c r="F30">
        <f>$L$1+advertising!$M$1*advertising!B30+advertising!$N$1*advertising!C30</f>
        <v>19.434296617245668</v>
      </c>
      <c r="G30">
        <f t="shared" si="0"/>
        <v>0.28547287520016507</v>
      </c>
      <c r="H30">
        <f t="shared" si="1"/>
        <v>23.790006249999962</v>
      </c>
      <c r="I30">
        <f t="shared" si="2"/>
        <v>29.287542626431623</v>
      </c>
      <c r="O30">
        <f t="shared" si="3"/>
        <v>4.0192926045016075E-3</v>
      </c>
      <c r="P30" s="1">
        <v>18.899999999999999</v>
      </c>
      <c r="Q30">
        <f t="shared" si="4"/>
        <v>5.5166493608650242</v>
      </c>
      <c r="R30" s="1">
        <v>18.899999999999999</v>
      </c>
    </row>
    <row r="31" spans="1:18" x14ac:dyDescent="0.25">
      <c r="A31">
        <v>30</v>
      </c>
      <c r="B31" s="2">
        <v>70.599999999999994</v>
      </c>
      <c r="C31" s="2">
        <v>16</v>
      </c>
      <c r="D31" s="2">
        <v>40.799999999999997</v>
      </c>
      <c r="E31" s="1">
        <v>10.5</v>
      </c>
      <c r="F31">
        <f>$L$1+advertising!$M$1*advertising!B31+advertising!$N$1*advertising!C31</f>
        <v>9.1863536093017544</v>
      </c>
      <c r="G31">
        <f t="shared" si="0"/>
        <v>1.7256668397945278</v>
      </c>
      <c r="H31">
        <f t="shared" si="1"/>
        <v>12.408006250000019</v>
      </c>
      <c r="I31">
        <f t="shared" si="2"/>
        <v>23.388311912263692</v>
      </c>
      <c r="O31">
        <f t="shared" si="3"/>
        <v>1.4164305949008501E-2</v>
      </c>
      <c r="P31" s="1">
        <v>10.5</v>
      </c>
      <c r="Q31">
        <f t="shared" si="4"/>
        <v>4.257030144499196</v>
      </c>
      <c r="R31" s="1">
        <v>10.5</v>
      </c>
    </row>
    <row r="32" spans="1:18" x14ac:dyDescent="0.25">
      <c r="A32">
        <v>31</v>
      </c>
      <c r="B32" s="2">
        <v>292.89999999999998</v>
      </c>
      <c r="C32" s="2">
        <v>28.3</v>
      </c>
      <c r="D32" s="2">
        <v>43.2</v>
      </c>
      <c r="E32" s="1">
        <v>21.4</v>
      </c>
      <c r="F32">
        <f>$L$1+advertising!$M$1*advertising!B32+advertising!$N$1*advertising!C32</f>
        <v>21.678753502130544</v>
      </c>
      <c r="G32">
        <f t="shared" si="0"/>
        <v>7.770351495004385E-2</v>
      </c>
      <c r="H32">
        <f t="shared" si="1"/>
        <v>54.427506249999944</v>
      </c>
      <c r="I32">
        <f t="shared" si="2"/>
        <v>58.618217688886176</v>
      </c>
      <c r="O32">
        <f t="shared" si="3"/>
        <v>3.4141345168999661E-3</v>
      </c>
      <c r="P32" s="1">
        <v>21.4</v>
      </c>
      <c r="Q32">
        <f t="shared" si="4"/>
        <v>5.6798312538336875</v>
      </c>
      <c r="R32" s="1">
        <v>21.4</v>
      </c>
    </row>
    <row r="33" spans="1:18" x14ac:dyDescent="0.25">
      <c r="A33">
        <v>32</v>
      </c>
      <c r="B33" s="2">
        <v>112.9</v>
      </c>
      <c r="C33" s="2">
        <v>17.399999999999999</v>
      </c>
      <c r="D33" s="2">
        <v>38.6</v>
      </c>
      <c r="E33" s="1">
        <v>11.9</v>
      </c>
      <c r="F33">
        <f>$L$1+advertising!$M$1*advertising!B33+advertising!$N$1*advertising!C33</f>
        <v>11.386140135750558</v>
      </c>
      <c r="G33">
        <f t="shared" si="0"/>
        <v>0.26405196008645482</v>
      </c>
      <c r="H33">
        <f t="shared" si="1"/>
        <v>4.5050062500000099</v>
      </c>
      <c r="I33">
        <f t="shared" si="2"/>
        <v>6.9503933338253479</v>
      </c>
      <c r="O33">
        <f t="shared" si="3"/>
        <v>8.8573959255978732E-3</v>
      </c>
      <c r="P33" s="1">
        <v>11.9</v>
      </c>
      <c r="Q33">
        <f t="shared" si="4"/>
        <v>4.7265024711556167</v>
      </c>
      <c r="R33" s="1">
        <v>11.9</v>
      </c>
    </row>
    <row r="34" spans="1:18" x14ac:dyDescent="0.25">
      <c r="A34">
        <v>33</v>
      </c>
      <c r="B34" s="2">
        <v>97.2</v>
      </c>
      <c r="C34" s="2">
        <v>1.5</v>
      </c>
      <c r="D34" s="2">
        <v>30</v>
      </c>
      <c r="E34" s="1">
        <v>9.6</v>
      </c>
      <c r="F34">
        <f>$L$1+advertising!$M$1*advertising!B34+advertising!$N$1*advertising!C34</f>
        <v>7.6700079331013669</v>
      </c>
      <c r="G34">
        <f t="shared" si="0"/>
        <v>3.7248693782916567</v>
      </c>
      <c r="H34">
        <f t="shared" si="1"/>
        <v>19.558506250000026</v>
      </c>
      <c r="I34">
        <f t="shared" si="2"/>
        <v>40.354155460010098</v>
      </c>
      <c r="O34">
        <f t="shared" si="3"/>
        <v>1.0288065843621399E-2</v>
      </c>
      <c r="P34" s="1">
        <v>9.6</v>
      </c>
      <c r="Q34">
        <f t="shared" si="4"/>
        <v>4.5767707114663931</v>
      </c>
      <c r="R34" s="1">
        <v>9.6</v>
      </c>
    </row>
    <row r="35" spans="1:18" x14ac:dyDescent="0.25">
      <c r="A35">
        <v>34</v>
      </c>
      <c r="B35" s="2">
        <v>265.60000000000002</v>
      </c>
      <c r="C35" s="2">
        <v>20</v>
      </c>
      <c r="D35" s="2">
        <v>0.3</v>
      </c>
      <c r="E35" s="1">
        <v>17.399999999999999</v>
      </c>
      <c r="F35">
        <f>$L$1+advertising!$M$1*advertising!B35+advertising!$N$1*advertising!C35</f>
        <v>18.864579540777097</v>
      </c>
      <c r="G35">
        <f t="shared" si="0"/>
        <v>2.1449932312628559</v>
      </c>
      <c r="H35">
        <f t="shared" si="1"/>
        <v>11.407506249999972</v>
      </c>
      <c r="I35">
        <f t="shared" si="2"/>
        <v>23.445734279212115</v>
      </c>
      <c r="O35">
        <f t="shared" si="3"/>
        <v>3.765060240963855E-3</v>
      </c>
      <c r="P35" s="1">
        <v>17.399999999999999</v>
      </c>
      <c r="Q35">
        <f t="shared" si="4"/>
        <v>5.5819914176022785</v>
      </c>
      <c r="R35" s="1">
        <v>17.399999999999999</v>
      </c>
    </row>
    <row r="36" spans="1:18" x14ac:dyDescent="0.25">
      <c r="A36">
        <v>35</v>
      </c>
      <c r="B36" s="2">
        <v>95.7</v>
      </c>
      <c r="C36" s="2">
        <v>1.4</v>
      </c>
      <c r="D36" s="2">
        <v>7.4</v>
      </c>
      <c r="E36" s="1">
        <v>9.5</v>
      </c>
      <c r="F36">
        <f>$L$1+advertising!$M$1*advertising!B36+advertising!$N$1*advertising!C36</f>
        <v>7.5825079632264494</v>
      </c>
      <c r="G36">
        <f t="shared" si="0"/>
        <v>3.6767757110899795</v>
      </c>
      <c r="H36">
        <f t="shared" si="1"/>
        <v>20.453006250000023</v>
      </c>
      <c r="I36">
        <f t="shared" si="2"/>
        <v>41.473497433706775</v>
      </c>
      <c r="O36">
        <f t="shared" si="3"/>
        <v>1.0449320794148381E-2</v>
      </c>
      <c r="P36" s="1">
        <v>9.5</v>
      </c>
      <c r="Q36">
        <f t="shared" si="4"/>
        <v>4.5612182984589085</v>
      </c>
      <c r="R36" s="1">
        <v>9.5</v>
      </c>
    </row>
    <row r="37" spans="1:18" x14ac:dyDescent="0.25">
      <c r="A37">
        <v>36</v>
      </c>
      <c r="B37" s="2">
        <v>290.7</v>
      </c>
      <c r="C37" s="2">
        <v>4.0999999999999996</v>
      </c>
      <c r="D37" s="2">
        <v>8.5</v>
      </c>
      <c r="E37" s="1">
        <v>12.8</v>
      </c>
      <c r="F37">
        <f>$L$1+advertising!$M$1*advertising!B37+advertising!$N$1*advertising!C37</f>
        <v>17.015644872708126</v>
      </c>
      <c r="G37">
        <f t="shared" si="0"/>
        <v>17.771661692790307</v>
      </c>
      <c r="H37">
        <f t="shared" si="1"/>
        <v>1.4945062500000046</v>
      </c>
      <c r="I37">
        <f t="shared" si="2"/>
        <v>8.9589162290189286</v>
      </c>
      <c r="O37">
        <f t="shared" si="3"/>
        <v>3.4399724802201583E-3</v>
      </c>
      <c r="P37" s="1">
        <v>12.8</v>
      </c>
      <c r="Q37">
        <f t="shared" si="4"/>
        <v>5.6722918075648305</v>
      </c>
      <c r="R37" s="1">
        <v>12.8</v>
      </c>
    </row>
    <row r="38" spans="1:18" x14ac:dyDescent="0.25">
      <c r="A38">
        <v>37</v>
      </c>
      <c r="B38" s="2">
        <v>266.89999999999998</v>
      </c>
      <c r="C38" s="2">
        <v>43.8</v>
      </c>
      <c r="D38" s="2">
        <v>5</v>
      </c>
      <c r="E38" s="1">
        <v>25.4</v>
      </c>
      <c r="F38">
        <f>$L$1+advertising!$M$1*advertising!B38+advertising!$N$1*advertising!C38</f>
        <v>23.411087982522375</v>
      </c>
      <c r="G38">
        <f t="shared" si="0"/>
        <v>3.9557710132669119</v>
      </c>
      <c r="H38">
        <f t="shared" si="1"/>
        <v>129.44750624999992</v>
      </c>
      <c r="I38">
        <f t="shared" si="2"/>
        <v>88.145584305563503</v>
      </c>
      <c r="O38">
        <f t="shared" si="3"/>
        <v>3.7467216185837395E-3</v>
      </c>
      <c r="P38" s="1">
        <v>25.4</v>
      </c>
      <c r="Q38">
        <f t="shared" si="4"/>
        <v>5.586874056410478</v>
      </c>
      <c r="R38" s="1">
        <v>25.4</v>
      </c>
    </row>
    <row r="39" spans="1:18" x14ac:dyDescent="0.25">
      <c r="A39">
        <v>38</v>
      </c>
      <c r="B39" s="2">
        <v>74.7</v>
      </c>
      <c r="C39" s="2">
        <v>49.4</v>
      </c>
      <c r="D39" s="2">
        <v>45.7</v>
      </c>
      <c r="E39" s="1">
        <v>14.7</v>
      </c>
      <c r="F39">
        <f>$L$1+advertising!$M$1*advertising!B39+advertising!$N$1*advertising!C39</f>
        <v>15.670891220736909</v>
      </c>
      <c r="G39">
        <f t="shared" si="0"/>
        <v>0.94262976250400654</v>
      </c>
      <c r="H39">
        <f t="shared" si="1"/>
        <v>0.45900624999999545</v>
      </c>
      <c r="I39">
        <f t="shared" si="2"/>
        <v>2.7171936166025081</v>
      </c>
      <c r="O39">
        <f t="shared" si="3"/>
        <v>1.3386880856760375E-2</v>
      </c>
      <c r="P39" s="1">
        <v>14.7</v>
      </c>
      <c r="Q39">
        <f t="shared" si="4"/>
        <v>4.3134800921387715</v>
      </c>
      <c r="R39" s="1">
        <v>14.7</v>
      </c>
    </row>
    <row r="40" spans="1:18" x14ac:dyDescent="0.25">
      <c r="A40">
        <v>39</v>
      </c>
      <c r="B40" s="2">
        <v>43.1</v>
      </c>
      <c r="C40" s="2">
        <v>26.7</v>
      </c>
      <c r="D40" s="2">
        <v>35.1</v>
      </c>
      <c r="E40" s="1">
        <v>10.1</v>
      </c>
      <c r="F40">
        <f>$L$1+advertising!$M$1*advertising!B40+advertising!$N$1*advertising!C40</f>
        <v>9.9450970403031071</v>
      </c>
      <c r="G40">
        <f t="shared" si="0"/>
        <v>2.39949269228571E-2</v>
      </c>
      <c r="H40">
        <f t="shared" si="1"/>
        <v>15.386006250000023</v>
      </c>
      <c r="I40">
        <f t="shared" si="2"/>
        <v>16.625214895745003</v>
      </c>
      <c r="O40">
        <f t="shared" si="3"/>
        <v>2.3201856148491878E-2</v>
      </c>
      <c r="P40" s="1">
        <v>10.1</v>
      </c>
      <c r="Q40">
        <f t="shared" si="4"/>
        <v>3.763522997109702</v>
      </c>
      <c r="R40" s="1">
        <v>10.1</v>
      </c>
    </row>
    <row r="41" spans="1:18" x14ac:dyDescent="0.25">
      <c r="A41">
        <v>40</v>
      </c>
      <c r="B41" s="2">
        <v>228</v>
      </c>
      <c r="C41" s="2">
        <v>37.700000000000003</v>
      </c>
      <c r="D41" s="2">
        <v>32</v>
      </c>
      <c r="E41" s="1">
        <v>21.5</v>
      </c>
      <c r="F41">
        <f>$L$1+advertising!$M$1*advertising!B41+advertising!$N$1*advertising!C41</f>
        <v>20.480810171106363</v>
      </c>
      <c r="G41">
        <f t="shared" si="0"/>
        <v>1.0387479073202415</v>
      </c>
      <c r="H41">
        <f t="shared" si="1"/>
        <v>55.91300624999996</v>
      </c>
      <c r="I41">
        <f t="shared" si="2"/>
        <v>41.709770266215862</v>
      </c>
      <c r="O41">
        <f t="shared" si="3"/>
        <v>4.3859649122807015E-3</v>
      </c>
      <c r="P41" s="1">
        <v>21.5</v>
      </c>
      <c r="Q41">
        <f t="shared" si="4"/>
        <v>5.4293456289544411</v>
      </c>
      <c r="R41" s="1">
        <v>21.5</v>
      </c>
    </row>
    <row r="42" spans="1:18" x14ac:dyDescent="0.25">
      <c r="A42">
        <v>41</v>
      </c>
      <c r="B42" s="2">
        <v>202.5</v>
      </c>
      <c r="C42" s="2">
        <v>22.3</v>
      </c>
      <c r="D42" s="2">
        <v>31.6</v>
      </c>
      <c r="E42" s="1">
        <v>16.600000000000001</v>
      </c>
      <c r="F42">
        <f>$L$1+advertising!$M$1*advertising!B42+advertising!$N$1*advertising!C42</f>
        <v>16.410449451453381</v>
      </c>
      <c r="G42">
        <f t="shared" si="0"/>
        <v>3.5929410454324635E-2</v>
      </c>
      <c r="H42">
        <f t="shared" si="1"/>
        <v>6.6435062499999935</v>
      </c>
      <c r="I42">
        <f t="shared" si="2"/>
        <v>5.7023025826964915</v>
      </c>
      <c r="O42">
        <f t="shared" si="3"/>
        <v>4.9382716049382715E-3</v>
      </c>
      <c r="P42" s="1">
        <v>16.600000000000001</v>
      </c>
      <c r="Q42">
        <f t="shared" si="4"/>
        <v>5.3107398865465942</v>
      </c>
      <c r="R42" s="1">
        <v>16.600000000000001</v>
      </c>
    </row>
    <row r="43" spans="1:18" x14ac:dyDescent="0.25">
      <c r="A43">
        <v>42</v>
      </c>
      <c r="B43" s="2">
        <v>177</v>
      </c>
      <c r="C43" s="2">
        <v>33.4</v>
      </c>
      <c r="D43" s="2">
        <v>38.700000000000003</v>
      </c>
      <c r="E43" s="1">
        <v>17.100000000000001</v>
      </c>
      <c r="F43">
        <f>$L$1+advertising!$M$1*advertising!B43+advertising!$N$1*advertising!C43</f>
        <v>17.336134180132809</v>
      </c>
      <c r="G43">
        <f t="shared" si="0"/>
        <v>5.5759351026993448E-2</v>
      </c>
      <c r="H43">
        <f t="shared" si="1"/>
        <v>9.4710062499999932</v>
      </c>
      <c r="I43">
        <f t="shared" si="2"/>
        <v>10.980171479744419</v>
      </c>
      <c r="O43">
        <f t="shared" si="3"/>
        <v>5.6497175141242938E-3</v>
      </c>
      <c r="P43" s="1">
        <v>17.100000000000001</v>
      </c>
      <c r="Q43">
        <f t="shared" si="4"/>
        <v>5.1761497325738288</v>
      </c>
      <c r="R43" s="1">
        <v>17.100000000000001</v>
      </c>
    </row>
    <row r="44" spans="1:18" x14ac:dyDescent="0.25">
      <c r="A44">
        <v>43</v>
      </c>
      <c r="B44" s="2">
        <v>293.60000000000002</v>
      </c>
      <c r="C44" s="2">
        <v>27.7</v>
      </c>
      <c r="D44" s="2">
        <v>1.8</v>
      </c>
      <c r="E44" s="1">
        <v>20.7</v>
      </c>
      <c r="F44">
        <f>$L$1+advertising!$M$1*advertising!B44+advertising!$N$1*advertising!C44</f>
        <v>21.597670743798403</v>
      </c>
      <c r="G44">
        <f t="shared" si="0"/>
        <v>0.80581276427157977</v>
      </c>
      <c r="H44">
        <f t="shared" si="1"/>
        <v>44.589006249999954</v>
      </c>
      <c r="I44">
        <f t="shared" si="2"/>
        <v>57.383211797699211</v>
      </c>
      <c r="O44">
        <f t="shared" si="3"/>
        <v>3.4059945504087189E-3</v>
      </c>
      <c r="P44" s="1">
        <v>20.7</v>
      </c>
      <c r="Q44">
        <f t="shared" si="4"/>
        <v>5.6822182967403609</v>
      </c>
      <c r="R44" s="1">
        <v>20.7</v>
      </c>
    </row>
    <row r="45" spans="1:18" x14ac:dyDescent="0.25">
      <c r="A45">
        <v>44</v>
      </c>
      <c r="B45" s="2">
        <v>206.9</v>
      </c>
      <c r="C45" s="2">
        <v>8.4</v>
      </c>
      <c r="D45" s="2">
        <v>26.4</v>
      </c>
      <c r="E45" s="1">
        <v>12.9</v>
      </c>
      <c r="F45">
        <f>$L$1+advertising!$M$1*advertising!B45+advertising!$N$1*advertising!C45</f>
        <v>13.991246656294088</v>
      </c>
      <c r="G45">
        <f t="shared" si="0"/>
        <v>1.1908192648730263</v>
      </c>
      <c r="H45">
        <f t="shared" si="1"/>
        <v>1.2600062500000051</v>
      </c>
      <c r="I45">
        <f t="shared" si="2"/>
        <v>9.7677149280004532E-4</v>
      </c>
      <c r="O45">
        <f t="shared" si="3"/>
        <v>4.8332527791203478E-3</v>
      </c>
      <c r="P45" s="1">
        <v>12.9</v>
      </c>
      <c r="Q45">
        <f t="shared" si="4"/>
        <v>5.3322355847514977</v>
      </c>
      <c r="R45" s="1">
        <v>12.9</v>
      </c>
    </row>
    <row r="46" spans="1:18" x14ac:dyDescent="0.25">
      <c r="A46">
        <v>45</v>
      </c>
      <c r="B46" s="2">
        <v>25.1</v>
      </c>
      <c r="C46" s="2">
        <v>25.7</v>
      </c>
      <c r="D46" s="2">
        <v>43.3</v>
      </c>
      <c r="E46" s="1">
        <v>8.5</v>
      </c>
      <c r="F46">
        <f>$L$1+advertising!$M$1*advertising!B46+advertising!$N$1*advertising!C46</f>
        <v>8.9328034051877481</v>
      </c>
      <c r="G46">
        <f t="shared" si="0"/>
        <v>0.18731878754211004</v>
      </c>
      <c r="H46">
        <f t="shared" si="1"/>
        <v>30.498006250000028</v>
      </c>
      <c r="I46">
        <f t="shared" si="2"/>
        <v>25.905011427243458</v>
      </c>
      <c r="O46">
        <f t="shared" si="3"/>
        <v>3.9840637450199202E-2</v>
      </c>
      <c r="P46" s="1">
        <v>8.5</v>
      </c>
      <c r="Q46">
        <f t="shared" si="4"/>
        <v>3.2228678461377385</v>
      </c>
      <c r="R46" s="1">
        <v>8.5</v>
      </c>
    </row>
    <row r="47" spans="1:18" x14ac:dyDescent="0.25">
      <c r="A47">
        <v>46</v>
      </c>
      <c r="B47" s="2">
        <v>175.1</v>
      </c>
      <c r="C47" s="2">
        <v>22.5</v>
      </c>
      <c r="D47" s="2">
        <v>31.5</v>
      </c>
      <c r="E47" s="1">
        <v>14.9</v>
      </c>
      <c r="F47">
        <f>$L$1+advertising!$M$1*advertising!B47+advertising!$N$1*advertising!C47</f>
        <v>15.194204169359129</v>
      </c>
      <c r="G47">
        <f t="shared" si="0"/>
        <v>8.6556093268294582E-2</v>
      </c>
      <c r="H47">
        <f t="shared" si="1"/>
        <v>0.77000624999999601</v>
      </c>
      <c r="I47">
        <f t="shared" si="2"/>
        <v>1.3728906604935591</v>
      </c>
      <c r="O47">
        <f t="shared" si="3"/>
        <v>5.7110222729868645E-3</v>
      </c>
      <c r="P47" s="1">
        <v>14.9</v>
      </c>
      <c r="Q47">
        <f t="shared" si="4"/>
        <v>5.1653572392918061</v>
      </c>
      <c r="R47" s="1">
        <v>14.9</v>
      </c>
    </row>
    <row r="48" spans="1:18" x14ac:dyDescent="0.25">
      <c r="A48">
        <v>47</v>
      </c>
      <c r="B48" s="2">
        <v>89.7</v>
      </c>
      <c r="C48" s="2">
        <v>9.9</v>
      </c>
      <c r="D48" s="2">
        <v>35.700000000000003</v>
      </c>
      <c r="E48" s="1">
        <v>10.6</v>
      </c>
      <c r="F48">
        <f>$L$1+advertising!$M$1*advertising!B48+advertising!$N$1*advertising!C48</f>
        <v>8.9104252342988008</v>
      </c>
      <c r="G48">
        <f t="shared" si="0"/>
        <v>2.8546628888942607</v>
      </c>
      <c r="H48">
        <f t="shared" si="1"/>
        <v>11.71350625000002</v>
      </c>
      <c r="I48">
        <f t="shared" si="2"/>
        <v>26.133308410118996</v>
      </c>
      <c r="O48">
        <f t="shared" si="3"/>
        <v>1.1148272017837234E-2</v>
      </c>
      <c r="P48" s="1">
        <v>10.6</v>
      </c>
      <c r="Q48">
        <f t="shared" si="4"/>
        <v>4.4964707690647501</v>
      </c>
      <c r="R48" s="1">
        <v>10.6</v>
      </c>
    </row>
    <row r="49" spans="1:18" x14ac:dyDescent="0.25">
      <c r="A49">
        <v>48</v>
      </c>
      <c r="B49" s="2">
        <v>239.9</v>
      </c>
      <c r="C49" s="2">
        <v>41.5</v>
      </c>
      <c r="D49" s="2">
        <v>18.5</v>
      </c>
      <c r="E49" s="1">
        <v>23.2</v>
      </c>
      <c r="F49">
        <f>$L$1+advertising!$M$1*advertising!B49+advertising!$N$1*advertising!C49</f>
        <v>21.741823516314771</v>
      </c>
      <c r="G49">
        <f t="shared" si="0"/>
        <v>2.1262786575726178</v>
      </c>
      <c r="H49">
        <f t="shared" si="1"/>
        <v>84.226506249999943</v>
      </c>
      <c r="I49">
        <f t="shared" si="2"/>
        <v>59.587955549530193</v>
      </c>
      <c r="O49">
        <f t="shared" si="3"/>
        <v>4.1684035014589414E-3</v>
      </c>
      <c r="P49" s="1">
        <v>23.2</v>
      </c>
      <c r="Q49">
        <f t="shared" si="4"/>
        <v>5.480222169845649</v>
      </c>
      <c r="R49" s="1">
        <v>23.2</v>
      </c>
    </row>
    <row r="50" spans="1:18" x14ac:dyDescent="0.25">
      <c r="A50">
        <v>49</v>
      </c>
      <c r="B50" s="2">
        <v>227.2</v>
      </c>
      <c r="C50" s="2">
        <v>15.8</v>
      </c>
      <c r="D50" s="2">
        <v>49.9</v>
      </c>
      <c r="E50" s="1">
        <v>14.8</v>
      </c>
      <c r="F50">
        <f>$L$1+advertising!$M$1*advertising!B50+advertising!$N$1*advertising!C50</f>
        <v>16.315391084233369</v>
      </c>
      <c r="G50">
        <f t="shared" si="0"/>
        <v>2.2964101381739828</v>
      </c>
      <c r="H50">
        <f t="shared" si="1"/>
        <v>0.60450624999999703</v>
      </c>
      <c r="I50">
        <f t="shared" si="2"/>
        <v>5.2573495241568606</v>
      </c>
      <c r="O50">
        <f t="shared" si="3"/>
        <v>4.4014084507042256E-3</v>
      </c>
      <c r="P50" s="1">
        <v>14.8</v>
      </c>
      <c r="Q50">
        <f t="shared" si="4"/>
        <v>5.4258306868469965</v>
      </c>
      <c r="R50" s="1">
        <v>14.8</v>
      </c>
    </row>
    <row r="51" spans="1:18" x14ac:dyDescent="0.25">
      <c r="A51">
        <v>50</v>
      </c>
      <c r="B51" s="2">
        <v>66.900000000000006</v>
      </c>
      <c r="C51" s="2">
        <v>11.7</v>
      </c>
      <c r="D51" s="2">
        <v>36.799999999999997</v>
      </c>
      <c r="E51" s="1">
        <v>9.6999999999999993</v>
      </c>
      <c r="F51">
        <f>$L$1+advertising!$M$1*advertising!B51+advertising!$N$1*advertising!C51</f>
        <v>8.2063453483685045</v>
      </c>
      <c r="G51">
        <f t="shared" si="0"/>
        <v>2.2310042183404022</v>
      </c>
      <c r="H51">
        <f t="shared" si="1"/>
        <v>18.684006250000028</v>
      </c>
      <c r="I51">
        <f t="shared" si="2"/>
        <v>33.827654931694717</v>
      </c>
      <c r="O51">
        <f t="shared" si="3"/>
        <v>1.4947683109118086E-2</v>
      </c>
      <c r="P51" s="1">
        <v>9.6999999999999993</v>
      </c>
      <c r="Q51">
        <f t="shared" si="4"/>
        <v>4.203198967134183</v>
      </c>
      <c r="R51" s="1">
        <v>9.6999999999999993</v>
      </c>
    </row>
    <row r="52" spans="1:18" x14ac:dyDescent="0.25">
      <c r="A52">
        <v>51</v>
      </c>
      <c r="B52" s="2">
        <v>199.8</v>
      </c>
      <c r="C52" s="2">
        <v>3.1</v>
      </c>
      <c r="D52" s="2">
        <v>34.6</v>
      </c>
      <c r="E52" s="1">
        <v>11.4</v>
      </c>
      <c r="F52">
        <f>$L$1+advertising!$M$1*advertising!B52+advertising!$N$1*advertising!C52</f>
        <v>12.667108583894283</v>
      </c>
      <c r="G52">
        <f t="shared" si="0"/>
        <v>1.6055641633785742</v>
      </c>
      <c r="H52">
        <f t="shared" si="1"/>
        <v>6.8775062500000121</v>
      </c>
      <c r="I52">
        <f t="shared" si="2"/>
        <v>1.8370858908530681</v>
      </c>
      <c r="O52">
        <f t="shared" si="3"/>
        <v>5.005005005005005E-3</v>
      </c>
      <c r="P52" s="1">
        <v>11.4</v>
      </c>
      <c r="Q52">
        <f t="shared" si="4"/>
        <v>5.2973168662144534</v>
      </c>
      <c r="R52" s="1">
        <v>11.4</v>
      </c>
    </row>
    <row r="53" spans="1:18" x14ac:dyDescent="0.25">
      <c r="A53">
        <v>52</v>
      </c>
      <c r="B53" s="2">
        <v>100.4</v>
      </c>
      <c r="C53" s="2">
        <v>9.6</v>
      </c>
      <c r="D53" s="2">
        <v>3.6</v>
      </c>
      <c r="E53" s="1">
        <v>10.7</v>
      </c>
      <c r="F53">
        <f>$L$1+advertising!$M$1*advertising!B53+advertising!$N$1*advertising!C53</f>
        <v>9.343547935596094</v>
      </c>
      <c r="G53">
        <f t="shared" si="0"/>
        <v>1.8399622030256164</v>
      </c>
      <c r="H53">
        <f t="shared" si="1"/>
        <v>11.039006250000023</v>
      </c>
      <c r="I53">
        <f t="shared" si="2"/>
        <v>21.892592420989597</v>
      </c>
      <c r="O53">
        <f t="shared" si="3"/>
        <v>9.9601593625498006E-3</v>
      </c>
      <c r="P53" s="1">
        <v>10.7</v>
      </c>
      <c r="Q53">
        <f t="shared" si="4"/>
        <v>4.6091622072576293</v>
      </c>
      <c r="R53" s="1">
        <v>10.7</v>
      </c>
    </row>
    <row r="54" spans="1:18" x14ac:dyDescent="0.25">
      <c r="A54">
        <v>53</v>
      </c>
      <c r="B54" s="2">
        <v>216.4</v>
      </c>
      <c r="C54" s="2">
        <v>41.7</v>
      </c>
      <c r="D54" s="2">
        <v>39.6</v>
      </c>
      <c r="E54" s="1">
        <v>22.6</v>
      </c>
      <c r="F54">
        <f>$L$1+advertising!$M$1*advertising!B54+advertising!$N$1*advertising!C54</f>
        <v>20.704060351496569</v>
      </c>
      <c r="G54">
        <f t="shared" si="0"/>
        <v>3.5945871507673193</v>
      </c>
      <c r="H54">
        <f t="shared" si="1"/>
        <v>73.57350624999998</v>
      </c>
      <c r="I54">
        <f t="shared" si="2"/>
        <v>44.643248730690921</v>
      </c>
      <c r="O54">
        <f t="shared" si="3"/>
        <v>4.6210720887245836E-3</v>
      </c>
      <c r="P54" s="1">
        <v>22.6</v>
      </c>
      <c r="Q54">
        <f t="shared" si="4"/>
        <v>5.3771285469723269</v>
      </c>
      <c r="R54" s="1">
        <v>22.6</v>
      </c>
    </row>
    <row r="55" spans="1:18" x14ac:dyDescent="0.25">
      <c r="A55">
        <v>54</v>
      </c>
      <c r="B55" s="2">
        <v>182.6</v>
      </c>
      <c r="C55" s="2">
        <v>46.2</v>
      </c>
      <c r="D55" s="2">
        <v>58.7</v>
      </c>
      <c r="E55" s="1">
        <v>21.2</v>
      </c>
      <c r="F55">
        <f>$L$1+advertising!$M$1*advertising!B55+advertising!$N$1*advertising!C55</f>
        <v>20.005600411236053</v>
      </c>
      <c r="G55">
        <f t="shared" si="0"/>
        <v>1.426590377639485</v>
      </c>
      <c r="H55">
        <f t="shared" si="1"/>
        <v>51.516506249999949</v>
      </c>
      <c r="I55">
        <f t="shared" si="2"/>
        <v>35.79749053093299</v>
      </c>
      <c r="O55">
        <f t="shared" si="3"/>
        <v>5.4764512595837896E-3</v>
      </c>
      <c r="P55" s="1">
        <v>21.2</v>
      </c>
      <c r="Q55">
        <f t="shared" si="4"/>
        <v>5.2072979681608684</v>
      </c>
      <c r="R55" s="1">
        <v>21.2</v>
      </c>
    </row>
    <row r="56" spans="1:18" x14ac:dyDescent="0.25">
      <c r="A56">
        <v>55</v>
      </c>
      <c r="B56" s="2">
        <v>262.7</v>
      </c>
      <c r="C56" s="2">
        <v>28.8</v>
      </c>
      <c r="D56" s="2">
        <v>15.9</v>
      </c>
      <c r="E56" s="1">
        <v>20.2</v>
      </c>
      <c r="F56">
        <f>$L$1+advertising!$M$1*advertising!B56+advertising!$N$1*advertising!C56</f>
        <v>20.39092621783664</v>
      </c>
      <c r="G56">
        <f t="shared" si="0"/>
        <v>3.6452820657404274E-2</v>
      </c>
      <c r="H56">
        <f t="shared" si="1"/>
        <v>38.16150624999996</v>
      </c>
      <c r="I56">
        <f t="shared" si="2"/>
        <v>40.556852492029051</v>
      </c>
      <c r="O56">
        <f t="shared" si="3"/>
        <v>3.8066235249333844E-3</v>
      </c>
      <c r="P56" s="1">
        <v>20.2</v>
      </c>
      <c r="Q56">
        <f t="shared" si="4"/>
        <v>5.5710126966914943</v>
      </c>
      <c r="R56" s="1">
        <v>20.2</v>
      </c>
    </row>
    <row r="57" spans="1:18" x14ac:dyDescent="0.25">
      <c r="A57">
        <v>56</v>
      </c>
      <c r="B57" s="2">
        <v>198.9</v>
      </c>
      <c r="C57" s="2">
        <v>49.4</v>
      </c>
      <c r="D57" s="2">
        <v>60</v>
      </c>
      <c r="E57" s="1">
        <v>23.7</v>
      </c>
      <c r="F57">
        <f>$L$1+advertising!$M$1*advertising!B57+advertising!$N$1*advertising!C57</f>
        <v>21.354860186297287</v>
      </c>
      <c r="G57">
        <f t="shared" si="0"/>
        <v>5.499680745813591</v>
      </c>
      <c r="H57">
        <f t="shared" si="1"/>
        <v>93.654006249999938</v>
      </c>
      <c r="I57">
        <f t="shared" si="2"/>
        <v>53.763505901597554</v>
      </c>
      <c r="O57">
        <f t="shared" si="3"/>
        <v>5.0276520864756154E-3</v>
      </c>
      <c r="P57" s="1">
        <v>23.7</v>
      </c>
      <c r="Q57">
        <f t="shared" si="4"/>
        <v>5.2928021858599266</v>
      </c>
      <c r="R57" s="1">
        <v>23.7</v>
      </c>
    </row>
    <row r="58" spans="1:18" x14ac:dyDescent="0.25">
      <c r="A58">
        <v>57</v>
      </c>
      <c r="B58" s="2">
        <v>7.3</v>
      </c>
      <c r="C58" s="2">
        <v>28.1</v>
      </c>
      <c r="D58" s="2">
        <v>41.4</v>
      </c>
      <c r="E58" s="1">
        <v>5.5</v>
      </c>
      <c r="F58">
        <f>$L$1+advertising!$M$1*advertising!B58+advertising!$N$1*advertising!C58</f>
        <v>8.5706647566853604</v>
      </c>
      <c r="G58">
        <f t="shared" si="0"/>
        <v>9.4289820479495638</v>
      </c>
      <c r="H58">
        <f t="shared" si="1"/>
        <v>72.633006250000051</v>
      </c>
      <c r="I58">
        <f t="shared" si="2"/>
        <v>29.722507520247625</v>
      </c>
      <c r="O58">
        <f t="shared" si="3"/>
        <v>0.13698630136986301</v>
      </c>
      <c r="P58" s="1">
        <v>5.5</v>
      </c>
      <c r="Q58">
        <f t="shared" si="4"/>
        <v>1.9878743481543455</v>
      </c>
      <c r="R58" s="1">
        <v>5.5</v>
      </c>
    </row>
    <row r="59" spans="1:18" x14ac:dyDescent="0.25">
      <c r="A59">
        <v>58</v>
      </c>
      <c r="B59" s="2">
        <v>136.19999999999999</v>
      </c>
      <c r="C59" s="2">
        <v>19.2</v>
      </c>
      <c r="D59" s="2">
        <v>16.600000000000001</v>
      </c>
      <c r="E59" s="1">
        <v>13.2</v>
      </c>
      <c r="F59">
        <f>$L$1+advertising!$M$1*advertising!B59+advertising!$N$1*advertising!C59</f>
        <v>12.791810405314088</v>
      </c>
      <c r="G59">
        <f t="shared" si="0"/>
        <v>0.16661874520984857</v>
      </c>
      <c r="H59">
        <f t="shared" si="1"/>
        <v>0.67650625000000553</v>
      </c>
      <c r="I59">
        <f t="shared" si="2"/>
        <v>1.5145968784681809</v>
      </c>
      <c r="O59">
        <f t="shared" si="3"/>
        <v>7.3421439060205587E-3</v>
      </c>
      <c r="P59" s="1">
        <v>13.2</v>
      </c>
      <c r="Q59">
        <f t="shared" si="4"/>
        <v>4.9141243937154115</v>
      </c>
      <c r="R59" s="1">
        <v>13.2</v>
      </c>
    </row>
    <row r="60" spans="1:18" x14ac:dyDescent="0.25">
      <c r="A60">
        <v>59</v>
      </c>
      <c r="B60" s="2">
        <v>210.8</v>
      </c>
      <c r="C60" s="2">
        <v>49.6</v>
      </c>
      <c r="D60" s="2">
        <v>37.700000000000003</v>
      </c>
      <c r="E60" s="1">
        <v>23.8</v>
      </c>
      <c r="F60">
        <f>$L$1+advertising!$M$1*advertising!B60+advertising!$N$1*advertising!C60</f>
        <v>21.937165470600156</v>
      </c>
      <c r="G60">
        <f t="shared" si="0"/>
        <v>3.4701524839243394</v>
      </c>
      <c r="H60">
        <f t="shared" si="1"/>
        <v>95.599506249999962</v>
      </c>
      <c r="I60">
        <f t="shared" si="2"/>
        <v>62.641929511510355</v>
      </c>
      <c r="O60">
        <f t="shared" si="3"/>
        <v>4.7438330170777986E-3</v>
      </c>
      <c r="P60" s="1">
        <v>23.8</v>
      </c>
      <c r="Q60">
        <f t="shared" si="4"/>
        <v>5.3509098166672073</v>
      </c>
      <c r="R60" s="1">
        <v>23.8</v>
      </c>
    </row>
    <row r="61" spans="1:18" x14ac:dyDescent="0.25">
      <c r="A61">
        <v>60</v>
      </c>
      <c r="B61" s="2">
        <v>210.7</v>
      </c>
      <c r="C61" s="2">
        <v>29.5</v>
      </c>
      <c r="D61" s="2">
        <v>9.3000000000000007</v>
      </c>
      <c r="E61" s="1">
        <v>18.399999999999999</v>
      </c>
      <c r="F61">
        <f>$L$1+advertising!$M$1*advertising!B61+advertising!$N$1*advertising!C61</f>
        <v>18.14313566599871</v>
      </c>
      <c r="G61">
        <f t="shared" si="0"/>
        <v>6.5979286081925784E-2</v>
      </c>
      <c r="H61">
        <f t="shared" si="1"/>
        <v>19.162506249999964</v>
      </c>
      <c r="I61">
        <f t="shared" si="2"/>
        <v>16.979638291900606</v>
      </c>
      <c r="O61">
        <f t="shared" si="3"/>
        <v>4.7460844803037493E-3</v>
      </c>
      <c r="P61" s="1">
        <v>18.399999999999999</v>
      </c>
      <c r="Q61">
        <f t="shared" si="4"/>
        <v>5.3504353208101429</v>
      </c>
      <c r="R61" s="1">
        <v>18.399999999999999</v>
      </c>
    </row>
    <row r="62" spans="1:18" x14ac:dyDescent="0.25">
      <c r="A62">
        <v>61</v>
      </c>
      <c r="B62" s="2">
        <v>53.5</v>
      </c>
      <c r="C62" s="2">
        <v>2</v>
      </c>
      <c r="D62" s="2">
        <v>21.4</v>
      </c>
      <c r="E62" s="1">
        <v>8.1</v>
      </c>
      <c r="F62">
        <f>$L$1+advertising!$M$1*advertising!B62+advertising!$N$1*advertising!C62</f>
        <v>5.7643579351595955</v>
      </c>
      <c r="G62">
        <f t="shared" si="0"/>
        <v>5.4552238550519467</v>
      </c>
      <c r="H62">
        <f t="shared" si="1"/>
        <v>35.076006250000034</v>
      </c>
      <c r="I62">
        <f t="shared" si="2"/>
        <v>68.196910363086573</v>
      </c>
      <c r="O62">
        <f t="shared" si="3"/>
        <v>1.8691588785046728E-2</v>
      </c>
      <c r="P62" s="1">
        <v>8.1</v>
      </c>
      <c r="Q62">
        <f t="shared" si="4"/>
        <v>3.9796816539019608</v>
      </c>
      <c r="R62" s="1">
        <v>8.1</v>
      </c>
    </row>
    <row r="63" spans="1:18" x14ac:dyDescent="0.25">
      <c r="A63">
        <v>62</v>
      </c>
      <c r="B63" s="2">
        <v>261.3</v>
      </c>
      <c r="C63" s="2">
        <v>42.7</v>
      </c>
      <c r="D63" s="2">
        <v>54.7</v>
      </c>
      <c r="E63" s="1">
        <v>24.2</v>
      </c>
      <c r="F63">
        <f>$L$1+advertising!$M$1*advertising!B63+advertising!$N$1*advertising!C63</f>
        <v>22.947422949362128</v>
      </c>
      <c r="G63">
        <f t="shared" si="0"/>
        <v>1.5689492677846684</v>
      </c>
      <c r="H63">
        <f t="shared" si="1"/>
        <v>103.58150624999993</v>
      </c>
      <c r="I63">
        <f t="shared" si="2"/>
        <v>79.654249652050737</v>
      </c>
      <c r="O63">
        <f t="shared" si="3"/>
        <v>3.8270187523918864E-3</v>
      </c>
      <c r="P63" s="1">
        <v>24.2</v>
      </c>
      <c r="Q63">
        <f t="shared" si="4"/>
        <v>5.565669172526567</v>
      </c>
      <c r="R63" s="1">
        <v>24.2</v>
      </c>
    </row>
    <row r="64" spans="1:18" x14ac:dyDescent="0.25">
      <c r="A64">
        <v>63</v>
      </c>
      <c r="B64" s="2">
        <v>239.3</v>
      </c>
      <c r="C64" s="2">
        <v>15.5</v>
      </c>
      <c r="D64" s="2">
        <v>27.3</v>
      </c>
      <c r="E64" s="1">
        <v>15.7</v>
      </c>
      <c r="F64">
        <f>$L$1+advertising!$M$1*advertising!B64+advertising!$N$1*advertising!C64</f>
        <v>16.812584289168221</v>
      </c>
      <c r="G64">
        <f t="shared" si="0"/>
        <v>1.2378438005039574</v>
      </c>
      <c r="H64">
        <f t="shared" si="1"/>
        <v>2.8140062499999887</v>
      </c>
      <c r="I64">
        <f t="shared" si="2"/>
        <v>7.7845703406633229</v>
      </c>
      <c r="O64">
        <f t="shared" si="3"/>
        <v>4.1788549937317176E-3</v>
      </c>
      <c r="P64" s="1">
        <v>15.7</v>
      </c>
      <c r="Q64">
        <f t="shared" si="4"/>
        <v>5.477717994914328</v>
      </c>
      <c r="R64" s="1">
        <v>15.7</v>
      </c>
    </row>
    <row r="65" spans="1:18" x14ac:dyDescent="0.25">
      <c r="A65">
        <v>64</v>
      </c>
      <c r="B65" s="2">
        <v>102.7</v>
      </c>
      <c r="C65" s="2">
        <v>29.6</v>
      </c>
      <c r="D65" s="2">
        <v>8.4</v>
      </c>
      <c r="E65" s="1">
        <v>14</v>
      </c>
      <c r="F65">
        <f>$L$1+advertising!$M$1*advertising!B65+advertising!$N$1*advertising!C65</f>
        <v>13.219406958507594</v>
      </c>
      <c r="G65">
        <f t="shared" si="0"/>
        <v>0.60932549642636447</v>
      </c>
      <c r="H65">
        <f t="shared" si="1"/>
        <v>5.0625000000011826E-4</v>
      </c>
      <c r="I65">
        <f t="shared" si="2"/>
        <v>0.64495843329352698</v>
      </c>
      <c r="O65">
        <f t="shared" si="3"/>
        <v>9.7370983446932804E-3</v>
      </c>
      <c r="P65" s="1">
        <v>14</v>
      </c>
      <c r="Q65">
        <f t="shared" si="4"/>
        <v>4.6318121169345128</v>
      </c>
      <c r="R65" s="1">
        <v>14</v>
      </c>
    </row>
    <row r="66" spans="1:18" x14ac:dyDescent="0.25">
      <c r="A66">
        <v>65</v>
      </c>
      <c r="B66" s="2">
        <v>131.1</v>
      </c>
      <c r="C66" s="2">
        <v>42.8</v>
      </c>
      <c r="D66" s="2">
        <v>28.9</v>
      </c>
      <c r="E66" s="1">
        <v>18</v>
      </c>
      <c r="F66">
        <f>$L$1+advertising!$M$1*advertising!B66+advertising!$N$1*advertising!C66</f>
        <v>17.00771911276118</v>
      </c>
      <c r="G66">
        <f t="shared" si="0"/>
        <v>0.98462135917946025</v>
      </c>
      <c r="H66">
        <f t="shared" si="1"/>
        <v>15.82050624999998</v>
      </c>
      <c r="I66">
        <f t="shared" si="2"/>
        <v>8.9115331511946287</v>
      </c>
      <c r="O66">
        <f t="shared" si="3"/>
        <v>7.6277650648360036E-3</v>
      </c>
      <c r="P66" s="1">
        <v>18</v>
      </c>
      <c r="Q66">
        <f t="shared" si="4"/>
        <v>4.875960390769654</v>
      </c>
      <c r="R66" s="1">
        <v>18</v>
      </c>
    </row>
    <row r="67" spans="1:18" x14ac:dyDescent="0.25">
      <c r="A67">
        <v>66</v>
      </c>
      <c r="B67" s="2">
        <v>69</v>
      </c>
      <c r="C67" s="2">
        <v>9.3000000000000007</v>
      </c>
      <c r="D67" s="2">
        <v>0.9</v>
      </c>
      <c r="E67" s="1">
        <v>9.3000000000000007</v>
      </c>
      <c r="F67">
        <f>$L$1+advertising!$M$1*advertising!B67+advertising!$N$1*advertising!C67</f>
        <v>7.8499790632211486</v>
      </c>
      <c r="G67">
        <f t="shared" ref="G67:G130" si="5">(E67-F67)^2</f>
        <v>2.10256071709702</v>
      </c>
      <c r="H67">
        <f t="shared" ref="H67:H130" si="6">(E67-AVERAGE($E$2:$E$201))^2</f>
        <v>22.302006250000019</v>
      </c>
      <c r="I67">
        <f t="shared" ref="I67:I130" si="7">(F67-AVERAGE($E$2:$E$201))^2</f>
        <v>38.100014714973305</v>
      </c>
      <c r="O67">
        <f t="shared" ref="O67:O130" si="8">1/B67</f>
        <v>1.4492753623188406E-2</v>
      </c>
      <c r="P67" s="1">
        <v>9.3000000000000007</v>
      </c>
      <c r="Q67">
        <f t="shared" ref="Q67:Q130" si="9">LN(B67)</f>
        <v>4.2341065045972597</v>
      </c>
      <c r="R67" s="1">
        <v>9.3000000000000007</v>
      </c>
    </row>
    <row r="68" spans="1:18" x14ac:dyDescent="0.25">
      <c r="A68">
        <v>67</v>
      </c>
      <c r="B68" s="2">
        <v>31.5</v>
      </c>
      <c r="C68" s="2">
        <v>24.6</v>
      </c>
      <c r="D68" s="2">
        <v>2.2000000000000002</v>
      </c>
      <c r="E68" s="1">
        <v>9.5</v>
      </c>
      <c r="F68">
        <f>$L$1+advertising!$M$1*advertising!B68+advertising!$N$1*advertising!C68</f>
        <v>9.0183141174922667</v>
      </c>
      <c r="G68">
        <f t="shared" si="5"/>
        <v>0.23202128940725381</v>
      </c>
      <c r="H68">
        <f t="shared" si="6"/>
        <v>20.453006250000023</v>
      </c>
      <c r="I68">
        <f t="shared" si="7"/>
        <v>25.041876346689726</v>
      </c>
      <c r="O68">
        <f t="shared" si="8"/>
        <v>3.1746031746031744E-2</v>
      </c>
      <c r="P68" s="1">
        <v>9.5</v>
      </c>
      <c r="Q68">
        <f t="shared" si="9"/>
        <v>3.4499875458315872</v>
      </c>
      <c r="R68" s="1">
        <v>9.5</v>
      </c>
    </row>
    <row r="69" spans="1:18" x14ac:dyDescent="0.25">
      <c r="A69">
        <v>68</v>
      </c>
      <c r="B69" s="2">
        <v>139.30000000000001</v>
      </c>
      <c r="C69" s="2">
        <v>14.5</v>
      </c>
      <c r="D69" s="2">
        <v>10.199999999999999</v>
      </c>
      <c r="E69" s="1">
        <v>13.4</v>
      </c>
      <c r="F69">
        <f>$L$1+advertising!$M$1*advertising!B69+advertising!$N$1*advertising!C69</f>
        <v>12.04758972671026</v>
      </c>
      <c r="G69">
        <f t="shared" si="5"/>
        <v>1.8290135472996294</v>
      </c>
      <c r="H69">
        <f t="shared" si="6"/>
        <v>0.38750625000000283</v>
      </c>
      <c r="I69">
        <f t="shared" si="7"/>
        <v>3.9002705875453647</v>
      </c>
      <c r="O69">
        <f t="shared" si="8"/>
        <v>7.1787508973438618E-3</v>
      </c>
      <c r="P69" s="1">
        <v>13.4</v>
      </c>
      <c r="Q69">
        <f t="shared" si="9"/>
        <v>4.9366298807857598</v>
      </c>
      <c r="R69" s="1">
        <v>13.4</v>
      </c>
    </row>
    <row r="70" spans="1:18" x14ac:dyDescent="0.25">
      <c r="A70">
        <v>69</v>
      </c>
      <c r="B70" s="2">
        <v>237.4</v>
      </c>
      <c r="C70" s="2">
        <v>27.5</v>
      </c>
      <c r="D70" s="2">
        <v>11</v>
      </c>
      <c r="E70" s="1">
        <v>18.899999999999999</v>
      </c>
      <c r="F70">
        <f>$L$1+advertising!$M$1*advertising!B70+advertising!$N$1*advertising!C70</f>
        <v>18.987991665821415</v>
      </c>
      <c r="G70">
        <f t="shared" si="5"/>
        <v>7.7425332540278146E-3</v>
      </c>
      <c r="H70">
        <f t="shared" si="6"/>
        <v>23.790006249999962</v>
      </c>
      <c r="I70">
        <f t="shared" si="7"/>
        <v>24.656107483341906</v>
      </c>
      <c r="O70">
        <f t="shared" si="8"/>
        <v>4.2122999157540014E-3</v>
      </c>
      <c r="P70" s="1">
        <v>18.899999999999999</v>
      </c>
      <c r="Q70">
        <f t="shared" si="9"/>
        <v>5.4697464821755677</v>
      </c>
      <c r="R70" s="1">
        <v>18.899999999999999</v>
      </c>
    </row>
    <row r="71" spans="1:18" x14ac:dyDescent="0.25">
      <c r="A71">
        <v>70</v>
      </c>
      <c r="B71" s="2">
        <v>216.8</v>
      </c>
      <c r="C71" s="2">
        <v>43.9</v>
      </c>
      <c r="D71" s="2">
        <v>27.2</v>
      </c>
      <c r="E71" s="1">
        <v>22.3</v>
      </c>
      <c r="F71">
        <f>$L$1+advertising!$M$1*advertising!B71+advertising!$N$1*advertising!C71</f>
        <v>21.13713224689878</v>
      </c>
      <c r="G71">
        <f t="shared" si="5"/>
        <v>1.3522614112026818</v>
      </c>
      <c r="H71">
        <f t="shared" si="6"/>
        <v>68.517006249999966</v>
      </c>
      <c r="I71">
        <f t="shared" si="7"/>
        <v>50.617992008611942</v>
      </c>
      <c r="O71">
        <f t="shared" si="8"/>
        <v>4.6125461254612546E-3</v>
      </c>
      <c r="P71" s="1">
        <v>22.3</v>
      </c>
      <c r="Q71">
        <f t="shared" si="9"/>
        <v>5.3789752695654913</v>
      </c>
      <c r="R71" s="1">
        <v>22.3</v>
      </c>
    </row>
    <row r="72" spans="1:18" x14ac:dyDescent="0.25">
      <c r="A72">
        <v>71</v>
      </c>
      <c r="B72" s="2">
        <v>199.1</v>
      </c>
      <c r="C72" s="2">
        <v>30.6</v>
      </c>
      <c r="D72" s="2">
        <v>38.700000000000003</v>
      </c>
      <c r="E72" s="1">
        <v>18.3</v>
      </c>
      <c r="F72">
        <f>$L$1+advertising!$M$1*advertising!B72+advertising!$N$1*advertising!C72</f>
        <v>17.819648797326124</v>
      </c>
      <c r="G72">
        <f t="shared" si="5"/>
        <v>0.23073727791023962</v>
      </c>
      <c r="H72">
        <f t="shared" si="6"/>
        <v>18.297006249999985</v>
      </c>
      <c r="I72">
        <f t="shared" si="7"/>
        <v>14.418338989035211</v>
      </c>
      <c r="O72">
        <f t="shared" si="8"/>
        <v>5.0226017076845809E-3</v>
      </c>
      <c r="P72" s="1">
        <v>18.3</v>
      </c>
      <c r="Q72">
        <f t="shared" si="9"/>
        <v>5.2938072110701508</v>
      </c>
      <c r="R72" s="1">
        <v>18.3</v>
      </c>
    </row>
    <row r="73" spans="1:18" x14ac:dyDescent="0.25">
      <c r="A73">
        <v>72</v>
      </c>
      <c r="B73" s="2">
        <v>109.8</v>
      </c>
      <c r="C73" s="2">
        <v>14.3</v>
      </c>
      <c r="D73" s="2">
        <v>31.7</v>
      </c>
      <c r="E73" s="1">
        <v>12.4</v>
      </c>
      <c r="F73">
        <f>$L$1+advertising!$M$1*advertising!B73+advertising!$N$1*advertising!C73</f>
        <v>10.65982668239239</v>
      </c>
      <c r="G73">
        <f t="shared" si="5"/>
        <v>3.0282031753134757</v>
      </c>
      <c r="H73">
        <f t="shared" si="6"/>
        <v>2.6325062500000076</v>
      </c>
      <c r="I73">
        <f t="shared" si="7"/>
        <v>11.307571840950185</v>
      </c>
      <c r="O73">
        <f t="shared" si="8"/>
        <v>9.1074681238615673E-3</v>
      </c>
      <c r="P73" s="1">
        <v>12.4</v>
      </c>
      <c r="Q73">
        <f t="shared" si="9"/>
        <v>4.69866052907543</v>
      </c>
      <c r="R73" s="1">
        <v>12.4</v>
      </c>
    </row>
    <row r="74" spans="1:18" x14ac:dyDescent="0.25">
      <c r="A74">
        <v>73</v>
      </c>
      <c r="B74" s="2">
        <v>26.8</v>
      </c>
      <c r="C74" s="2">
        <v>33</v>
      </c>
      <c r="D74" s="2">
        <v>19.3</v>
      </c>
      <c r="E74" s="1">
        <v>8.8000000000000007</v>
      </c>
      <c r="F74">
        <f>$L$1+advertising!$M$1*advertising!B74+advertising!$N$1*advertising!C74</f>
        <v>10.386872425964814</v>
      </c>
      <c r="G74">
        <f t="shared" si="5"/>
        <v>2.5181640962874519</v>
      </c>
      <c r="H74">
        <f t="shared" si="6"/>
        <v>27.274506250000019</v>
      </c>
      <c r="I74">
        <f t="shared" si="7"/>
        <v>13.217787857084991</v>
      </c>
      <c r="O74">
        <f t="shared" si="8"/>
        <v>3.7313432835820892E-2</v>
      </c>
      <c r="P74" s="1">
        <v>8.8000000000000007</v>
      </c>
      <c r="Q74">
        <f t="shared" si="9"/>
        <v>3.2884018875168111</v>
      </c>
      <c r="R74" s="1">
        <v>8.8000000000000007</v>
      </c>
    </row>
    <row r="75" spans="1:18" x14ac:dyDescent="0.25">
      <c r="A75">
        <v>74</v>
      </c>
      <c r="B75" s="2">
        <v>129.4</v>
      </c>
      <c r="C75" s="2">
        <v>5.7</v>
      </c>
      <c r="D75" s="2">
        <v>31.3</v>
      </c>
      <c r="E75" s="1">
        <v>11</v>
      </c>
      <c r="F75">
        <f>$L$1+advertising!$M$1*advertising!B75+advertising!$N$1*advertising!C75</f>
        <v>9.9354555878216271</v>
      </c>
      <c r="G75">
        <f t="shared" si="5"/>
        <v>1.1332548055001976</v>
      </c>
      <c r="H75">
        <f t="shared" si="6"/>
        <v>9.1355062500000166</v>
      </c>
      <c r="I75">
        <f t="shared" si="7"/>
        <v>16.703932027118483</v>
      </c>
      <c r="O75">
        <f t="shared" si="8"/>
        <v>7.7279752704791345E-3</v>
      </c>
      <c r="P75" s="1">
        <v>11</v>
      </c>
      <c r="Q75">
        <f t="shared" si="9"/>
        <v>4.8629083820668004</v>
      </c>
      <c r="R75" s="1">
        <v>11</v>
      </c>
    </row>
    <row r="76" spans="1:18" x14ac:dyDescent="0.25">
      <c r="A76">
        <v>75</v>
      </c>
      <c r="B76" s="2">
        <v>213.4</v>
      </c>
      <c r="C76" s="2">
        <v>24.6</v>
      </c>
      <c r="D76" s="2">
        <v>13.1</v>
      </c>
      <c r="E76" s="1">
        <v>17</v>
      </c>
      <c r="F76">
        <f>$L$1+advertising!$M$1*advertising!B76+advertising!$N$1*advertising!C76</f>
        <v>17.342903125829082</v>
      </c>
      <c r="G76">
        <f t="shared" si="5"/>
        <v>0.11758255370335524</v>
      </c>
      <c r="H76">
        <f t="shared" si="6"/>
        <v>8.865506249999985</v>
      </c>
      <c r="I76">
        <f t="shared" si="7"/>
        <v>11.025076918015522</v>
      </c>
      <c r="O76">
        <f t="shared" si="8"/>
        <v>4.6860356138706651E-3</v>
      </c>
      <c r="P76" s="1">
        <v>17</v>
      </c>
      <c r="Q76">
        <f t="shared" si="9"/>
        <v>5.363168338867653</v>
      </c>
      <c r="R76" s="1">
        <v>17</v>
      </c>
    </row>
    <row r="77" spans="1:18" x14ac:dyDescent="0.25">
      <c r="A77">
        <v>76</v>
      </c>
      <c r="B77" s="2">
        <v>16.899999999999999</v>
      </c>
      <c r="C77" s="2">
        <v>43.7</v>
      </c>
      <c r="D77" s="2">
        <v>89.4</v>
      </c>
      <c r="E77" s="1">
        <v>8.6999999999999993</v>
      </c>
      <c r="F77">
        <f>$L$1+advertising!$M$1*advertising!B77+advertising!$N$1*advertising!C77</f>
        <v>11.951073616981166</v>
      </c>
      <c r="G77">
        <f t="shared" si="5"/>
        <v>10.569479663031004</v>
      </c>
      <c r="H77">
        <f t="shared" si="6"/>
        <v>28.329006250000035</v>
      </c>
      <c r="I77">
        <f t="shared" si="7"/>
        <v>4.2908072602665008</v>
      </c>
      <c r="O77">
        <f t="shared" si="8"/>
        <v>5.9171597633136098E-2</v>
      </c>
      <c r="P77" s="1">
        <v>8.6999999999999993</v>
      </c>
      <c r="Q77">
        <f t="shared" si="9"/>
        <v>2.8273136219290276</v>
      </c>
      <c r="R77" s="1">
        <v>8.6999999999999993</v>
      </c>
    </row>
    <row r="78" spans="1:18" x14ac:dyDescent="0.25">
      <c r="A78">
        <v>77</v>
      </c>
      <c r="B78" s="2">
        <v>27.5</v>
      </c>
      <c r="C78" s="2">
        <v>1.6</v>
      </c>
      <c r="D78" s="2">
        <v>20.7</v>
      </c>
      <c r="E78" s="1">
        <v>6.9</v>
      </c>
      <c r="F78">
        <f>$L$1+advertising!$M$1*advertising!B78+advertising!$N$1*advertising!C78</f>
        <v>4.4990651465519766</v>
      </c>
      <c r="G78">
        <f t="shared" si="5"/>
        <v>5.7644881705014832</v>
      </c>
      <c r="H78">
        <f t="shared" si="6"/>
        <v>50.730006250000031</v>
      </c>
      <c r="I78">
        <f t="shared" si="7"/>
        <v>90.695811407868646</v>
      </c>
      <c r="O78">
        <f t="shared" si="8"/>
        <v>3.6363636363636362E-2</v>
      </c>
      <c r="P78" s="1">
        <v>6.9</v>
      </c>
      <c r="Q78">
        <f t="shared" si="9"/>
        <v>3.3141860046725258</v>
      </c>
      <c r="R78" s="1">
        <v>6.9</v>
      </c>
    </row>
    <row r="79" spans="1:18" x14ac:dyDescent="0.25">
      <c r="A79">
        <v>78</v>
      </c>
      <c r="B79" s="2">
        <v>120.5</v>
      </c>
      <c r="C79" s="2">
        <v>28.5</v>
      </c>
      <c r="D79" s="2">
        <v>14.2</v>
      </c>
      <c r="E79" s="1">
        <v>14.2</v>
      </c>
      <c r="F79">
        <f>$L$1+advertising!$M$1*advertising!B79+advertising!$N$1*advertising!C79</f>
        <v>13.826634629003646</v>
      </c>
      <c r="G79">
        <f t="shared" si="5"/>
        <v>0.13940170025924459</v>
      </c>
      <c r="H79">
        <f t="shared" si="6"/>
        <v>3.1506249999998813E-2</v>
      </c>
      <c r="I79">
        <f t="shared" si="7"/>
        <v>3.8363243555540452E-2</v>
      </c>
      <c r="O79">
        <f t="shared" si="8"/>
        <v>8.2987551867219917E-3</v>
      </c>
      <c r="P79" s="1">
        <v>14.2</v>
      </c>
      <c r="Q79">
        <f t="shared" si="9"/>
        <v>4.7916497529307094</v>
      </c>
      <c r="R79" s="1">
        <v>14.2</v>
      </c>
    </row>
    <row r="80" spans="1:18" x14ac:dyDescent="0.25">
      <c r="A80">
        <v>79</v>
      </c>
      <c r="B80" s="2">
        <v>5.4</v>
      </c>
      <c r="C80" s="2">
        <v>29.9</v>
      </c>
      <c r="D80" s="2">
        <v>9.4</v>
      </c>
      <c r="E80" s="1">
        <v>5.3</v>
      </c>
      <c r="F80">
        <f>$L$1+advertising!$M$1*advertising!B80+advertising!$N$1*advertising!C80</f>
        <v>8.8230659607728725</v>
      </c>
      <c r="G80">
        <f t="shared" si="5"/>
        <v>12.411993763956485</v>
      </c>
      <c r="H80">
        <f t="shared" si="6"/>
        <v>76.082006250000063</v>
      </c>
      <c r="I80">
        <f t="shared" si="7"/>
        <v>27.034114328273748</v>
      </c>
      <c r="O80">
        <f t="shared" si="8"/>
        <v>0.18518518518518517</v>
      </c>
      <c r="P80" s="1">
        <v>5.3</v>
      </c>
      <c r="Q80">
        <f t="shared" si="9"/>
        <v>1.6863989535702288</v>
      </c>
      <c r="R80" s="1">
        <v>5.3</v>
      </c>
    </row>
    <row r="81" spans="1:18" x14ac:dyDescent="0.25">
      <c r="A81">
        <v>80</v>
      </c>
      <c r="B81" s="2">
        <v>116</v>
      </c>
      <c r="C81" s="2">
        <v>7.7</v>
      </c>
      <c r="D81" s="2">
        <v>23.1</v>
      </c>
      <c r="E81" s="1">
        <v>11</v>
      </c>
      <c r="F81">
        <f>$L$1+advertising!$M$1*advertising!B81+advertising!$N$1*advertising!C81</f>
        <v>9.6992693725557082</v>
      </c>
      <c r="G81">
        <f t="shared" si="5"/>
        <v>1.691900165171621</v>
      </c>
      <c r="H81">
        <f t="shared" si="6"/>
        <v>9.1355062500000166</v>
      </c>
      <c r="I81">
        <f t="shared" si="7"/>
        <v>18.690323058072387</v>
      </c>
      <c r="O81">
        <f t="shared" si="8"/>
        <v>8.6206896551724137E-3</v>
      </c>
      <c r="P81" s="1">
        <v>11</v>
      </c>
      <c r="Q81">
        <f t="shared" si="9"/>
        <v>4.7535901911063645</v>
      </c>
      <c r="R81" s="1">
        <v>11</v>
      </c>
    </row>
    <row r="82" spans="1:18" x14ac:dyDescent="0.25">
      <c r="A82">
        <v>81</v>
      </c>
      <c r="B82" s="2">
        <v>76.400000000000006</v>
      </c>
      <c r="C82" s="2">
        <v>26.7</v>
      </c>
      <c r="D82" s="2">
        <v>22.3</v>
      </c>
      <c r="E82" s="1">
        <v>11.8</v>
      </c>
      <c r="F82">
        <f>$L$1+advertising!$M$1*advertising!B82+advertising!$N$1*advertising!C82</f>
        <v>11.469059733967846</v>
      </c>
      <c r="G82">
        <f t="shared" si="5"/>
        <v>0.10952145968143322</v>
      </c>
      <c r="H82">
        <f t="shared" si="6"/>
        <v>4.9395062500000089</v>
      </c>
      <c r="I82">
        <f t="shared" si="7"/>
        <v>6.5200571921943702</v>
      </c>
      <c r="O82">
        <f t="shared" si="8"/>
        <v>1.3089005235602092E-2</v>
      </c>
      <c r="P82" s="1">
        <v>11.8</v>
      </c>
      <c r="Q82">
        <f t="shared" si="9"/>
        <v>4.3359826961724748</v>
      </c>
      <c r="R82" s="1">
        <v>11.8</v>
      </c>
    </row>
    <row r="83" spans="1:18" x14ac:dyDescent="0.25">
      <c r="A83">
        <v>82</v>
      </c>
      <c r="B83" s="2">
        <v>239.8</v>
      </c>
      <c r="C83" s="2">
        <v>4.0999999999999996</v>
      </c>
      <c r="D83" s="2">
        <v>36.9</v>
      </c>
      <c r="E83" s="1">
        <v>12.3</v>
      </c>
      <c r="F83">
        <f>$L$1+advertising!$M$1*advertising!B83+advertising!$N$1*advertising!C83</f>
        <v>14.68622441902839</v>
      </c>
      <c r="G83">
        <f t="shared" si="5"/>
        <v>5.694066977967374</v>
      </c>
      <c r="H83">
        <f t="shared" si="6"/>
        <v>2.9670062500000065</v>
      </c>
      <c r="I83">
        <f t="shared" si="7"/>
        <v>0.44053010441457024</v>
      </c>
      <c r="O83">
        <f t="shared" si="8"/>
        <v>4.1701417848206837E-3</v>
      </c>
      <c r="P83" s="1">
        <v>12.3</v>
      </c>
      <c r="Q83">
        <f t="shared" si="9"/>
        <v>5.4798052425934136</v>
      </c>
      <c r="R83" s="1">
        <v>12.3</v>
      </c>
    </row>
    <row r="84" spans="1:18" x14ac:dyDescent="0.25">
      <c r="A84">
        <v>83</v>
      </c>
      <c r="B84" s="2">
        <v>75.3</v>
      </c>
      <c r="C84" s="2">
        <v>20.3</v>
      </c>
      <c r="D84" s="2">
        <v>32.5</v>
      </c>
      <c r="E84" s="1">
        <v>11.3</v>
      </c>
      <c r="F84">
        <f>$L$1+advertising!$M$1*advertising!B84+advertising!$N$1*advertising!C84</f>
        <v>10.2121265156904</v>
      </c>
      <c r="G84">
        <f t="shared" si="5"/>
        <v>1.1834687178639107</v>
      </c>
      <c r="H84">
        <f t="shared" si="6"/>
        <v>7.4120062500000108</v>
      </c>
      <c r="I84">
        <f t="shared" si="7"/>
        <v>14.518946089929701</v>
      </c>
      <c r="O84">
        <f t="shared" si="8"/>
        <v>1.3280212483399735E-2</v>
      </c>
      <c r="P84" s="1">
        <v>11.3</v>
      </c>
      <c r="Q84">
        <f t="shared" si="9"/>
        <v>4.3214801348058476</v>
      </c>
      <c r="R84" s="1">
        <v>11.3</v>
      </c>
    </row>
    <row r="85" spans="1:18" x14ac:dyDescent="0.25">
      <c r="A85">
        <v>84</v>
      </c>
      <c r="B85" s="2">
        <v>68.400000000000006</v>
      </c>
      <c r="C85" s="2">
        <v>44.5</v>
      </c>
      <c r="D85" s="2">
        <v>35.6</v>
      </c>
      <c r="E85" s="1">
        <v>13.6</v>
      </c>
      <c r="F85">
        <f>$L$1+advertising!$M$1*advertising!B85+advertising!$N$1*advertising!C85</f>
        <v>14.458776871468704</v>
      </c>
      <c r="G85">
        <f t="shared" si="5"/>
        <v>0.73749771496957506</v>
      </c>
      <c r="H85">
        <f t="shared" si="6"/>
        <v>0.17850625000000253</v>
      </c>
      <c r="I85">
        <f t="shared" si="7"/>
        <v>0.19033750857851753</v>
      </c>
      <c r="O85">
        <f t="shared" si="8"/>
        <v>1.4619883040935672E-2</v>
      </c>
      <c r="P85" s="1">
        <v>13.6</v>
      </c>
      <c r="Q85">
        <f t="shared" si="9"/>
        <v>4.2253728246285052</v>
      </c>
      <c r="R85" s="1">
        <v>13.6</v>
      </c>
    </row>
    <row r="86" spans="1:18" x14ac:dyDescent="0.25">
      <c r="A86">
        <v>85</v>
      </c>
      <c r="B86" s="2">
        <v>213.5</v>
      </c>
      <c r="C86" s="2">
        <v>43</v>
      </c>
      <c r="D86" s="2">
        <v>33.799999999999997</v>
      </c>
      <c r="E86" s="1">
        <v>21.7</v>
      </c>
      <c r="F86">
        <f>$L$1+advertising!$M$1*advertising!B86+advertising!$N$1*advertising!C86</f>
        <v>20.816431901669581</v>
      </c>
      <c r="G86">
        <f t="shared" si="5"/>
        <v>0.7806925843872311</v>
      </c>
      <c r="H86">
        <f t="shared" si="6"/>
        <v>58.944006249999951</v>
      </c>
      <c r="I86">
        <f t="shared" si="7"/>
        <v>46.157510684523615</v>
      </c>
      <c r="O86">
        <f t="shared" si="8"/>
        <v>4.6838407494145199E-3</v>
      </c>
      <c r="P86" s="1">
        <v>21.7</v>
      </c>
      <c r="Q86">
        <f t="shared" si="9"/>
        <v>5.3636368326686794</v>
      </c>
      <c r="R86" s="1">
        <v>21.7</v>
      </c>
    </row>
    <row r="87" spans="1:18" x14ac:dyDescent="0.25">
      <c r="A87">
        <v>86</v>
      </c>
      <c r="B87" s="2">
        <v>193.2</v>
      </c>
      <c r="C87" s="2">
        <v>18.399999999999999</v>
      </c>
      <c r="D87" s="2">
        <v>65.7</v>
      </c>
      <c r="E87" s="1">
        <v>15.2</v>
      </c>
      <c r="F87">
        <f>$L$1+advertising!$M$1*advertising!B87+advertising!$N$1*advertising!C87</f>
        <v>15.249571182737185</v>
      </c>
      <c r="G87">
        <f t="shared" si="5"/>
        <v>2.4573021579634515E-3</v>
      </c>
      <c r="H87">
        <f t="shared" si="6"/>
        <v>1.3865062499999921</v>
      </c>
      <c r="I87">
        <f t="shared" si="7"/>
        <v>1.5057036875040275</v>
      </c>
      <c r="O87">
        <f t="shared" si="8"/>
        <v>5.175983436853002E-3</v>
      </c>
      <c r="P87" s="1">
        <v>15.2</v>
      </c>
      <c r="Q87">
        <f t="shared" si="9"/>
        <v>5.2637259217784171</v>
      </c>
      <c r="R87" s="1">
        <v>15.2</v>
      </c>
    </row>
    <row r="88" spans="1:18" x14ac:dyDescent="0.25">
      <c r="A88">
        <v>87</v>
      </c>
      <c r="B88" s="2">
        <v>76.3</v>
      </c>
      <c r="C88" s="2">
        <v>27.5</v>
      </c>
      <c r="D88" s="2">
        <v>16</v>
      </c>
      <c r="E88" s="1">
        <v>12</v>
      </c>
      <c r="F88">
        <f>$L$1+advertising!$M$1*advertising!B88+advertising!$N$1*advertising!C88</f>
        <v>11.61530728295687</v>
      </c>
      <c r="G88">
        <f t="shared" si="5"/>
        <v>0.1479884865460257</v>
      </c>
      <c r="H88">
        <f t="shared" si="6"/>
        <v>4.0905062500000104</v>
      </c>
      <c r="I88">
        <f t="shared" si="7"/>
        <v>5.7945767769854992</v>
      </c>
      <c r="O88">
        <f t="shared" si="8"/>
        <v>1.3106159895150722E-2</v>
      </c>
      <c r="P88" s="1">
        <v>12</v>
      </c>
      <c r="Q88">
        <f t="shared" si="9"/>
        <v>4.334672938290411</v>
      </c>
      <c r="R88" s="1">
        <v>12</v>
      </c>
    </row>
    <row r="89" spans="1:18" x14ac:dyDescent="0.25">
      <c r="A89">
        <v>88</v>
      </c>
      <c r="B89" s="2">
        <v>110.7</v>
      </c>
      <c r="C89" s="2">
        <v>40.6</v>
      </c>
      <c r="D89" s="2">
        <v>63.2</v>
      </c>
      <c r="E89" s="1">
        <v>16</v>
      </c>
      <c r="F89">
        <f>$L$1+advertising!$M$1*advertising!B89+advertising!$N$1*advertising!C89</f>
        <v>15.659354308251023</v>
      </c>
      <c r="G89">
        <f t="shared" si="5"/>
        <v>0.11603948730713881</v>
      </c>
      <c r="H89">
        <f t="shared" si="6"/>
        <v>3.9105062499999894</v>
      </c>
      <c r="I89">
        <f t="shared" si="7"/>
        <v>2.6792920264399278</v>
      </c>
      <c r="O89">
        <f t="shared" si="8"/>
        <v>9.0334236675700084E-3</v>
      </c>
      <c r="P89" s="1">
        <v>16</v>
      </c>
      <c r="Q89">
        <f t="shared" si="9"/>
        <v>4.7068238397145912</v>
      </c>
      <c r="R89" s="1">
        <v>16</v>
      </c>
    </row>
    <row r="90" spans="1:18" x14ac:dyDescent="0.25">
      <c r="A90">
        <v>89</v>
      </c>
      <c r="B90" s="2">
        <v>88.3</v>
      </c>
      <c r="C90" s="2">
        <v>25.5</v>
      </c>
      <c r="D90" s="2">
        <v>73.400000000000006</v>
      </c>
      <c r="E90" s="1">
        <v>12.9</v>
      </c>
      <c r="F90">
        <f>$L$1+advertising!$M$1*advertising!B90+advertising!$N$1*advertising!C90</f>
        <v>11.787422994585231</v>
      </c>
      <c r="G90">
        <f t="shared" si="5"/>
        <v>1.237827592977695</v>
      </c>
      <c r="H90">
        <f t="shared" si="6"/>
        <v>1.2600062500000051</v>
      </c>
      <c r="I90">
        <f t="shared" si="7"/>
        <v>4.995569220133862</v>
      </c>
      <c r="O90">
        <f t="shared" si="8"/>
        <v>1.1325028312570783E-2</v>
      </c>
      <c r="P90" s="1">
        <v>12.9</v>
      </c>
      <c r="Q90">
        <f t="shared" si="9"/>
        <v>4.4807401076099147</v>
      </c>
      <c r="R90" s="1">
        <v>12.9</v>
      </c>
    </row>
    <row r="91" spans="1:18" x14ac:dyDescent="0.25">
      <c r="A91">
        <v>90</v>
      </c>
      <c r="B91" s="2">
        <v>109.8</v>
      </c>
      <c r="C91" s="2">
        <v>47.8</v>
      </c>
      <c r="D91" s="2">
        <v>51.4</v>
      </c>
      <c r="E91" s="1">
        <v>16.7</v>
      </c>
      <c r="F91">
        <f>$L$1+advertising!$M$1*advertising!B91+advertising!$N$1*advertising!C91</f>
        <v>16.975582249152236</v>
      </c>
      <c r="G91">
        <f t="shared" si="5"/>
        <v>7.5945576047805413E-2</v>
      </c>
      <c r="H91">
        <f t="shared" si="6"/>
        <v>7.169006249999982</v>
      </c>
      <c r="I91">
        <f t="shared" si="7"/>
        <v>8.720694770258012</v>
      </c>
      <c r="O91">
        <f t="shared" si="8"/>
        <v>9.1074681238615673E-3</v>
      </c>
      <c r="P91" s="1">
        <v>16.7</v>
      </c>
      <c r="Q91">
        <f t="shared" si="9"/>
        <v>4.69866052907543</v>
      </c>
      <c r="R91" s="1">
        <v>16.7</v>
      </c>
    </row>
    <row r="92" spans="1:18" x14ac:dyDescent="0.25">
      <c r="A92">
        <v>91</v>
      </c>
      <c r="B92" s="2">
        <v>134.30000000000001</v>
      </c>
      <c r="C92" s="2">
        <v>4.9000000000000004</v>
      </c>
      <c r="D92" s="2">
        <v>9.3000000000000007</v>
      </c>
      <c r="E92" s="1">
        <v>11.2</v>
      </c>
      <c r="F92">
        <f>$L$1+advertising!$M$1*advertising!B92+advertising!$N$1*advertising!C92</f>
        <v>10.00887833701851</v>
      </c>
      <c r="G92">
        <f t="shared" si="5"/>
        <v>1.4187708160237882</v>
      </c>
      <c r="H92">
        <f t="shared" si="6"/>
        <v>7.9665062500000188</v>
      </c>
      <c r="I92">
        <f t="shared" si="7"/>
        <v>16.10915885355432</v>
      </c>
      <c r="O92">
        <f t="shared" si="8"/>
        <v>7.4460163812360381E-3</v>
      </c>
      <c r="P92" s="1">
        <v>11.2</v>
      </c>
      <c r="Q92">
        <f t="shared" si="9"/>
        <v>4.9000761035291918</v>
      </c>
      <c r="R92" s="1">
        <v>11.2</v>
      </c>
    </row>
    <row r="93" spans="1:18" x14ac:dyDescent="0.25">
      <c r="A93">
        <v>92</v>
      </c>
      <c r="B93" s="2">
        <v>28.6</v>
      </c>
      <c r="C93" s="2">
        <v>1.5</v>
      </c>
      <c r="D93" s="2">
        <v>33</v>
      </c>
      <c r="E93" s="1">
        <v>7.3</v>
      </c>
      <c r="F93">
        <f>$L$1+advertising!$M$1*advertising!B93+advertising!$N$1*advertising!C93</f>
        <v>4.5305532548610943</v>
      </c>
      <c r="G93">
        <f t="shared" si="5"/>
        <v>7.6698352741604783</v>
      </c>
      <c r="H93">
        <f t="shared" si="6"/>
        <v>45.192006250000041</v>
      </c>
      <c r="I93">
        <f t="shared" si="7"/>
        <v>90.097053012553104</v>
      </c>
      <c r="O93">
        <f t="shared" si="8"/>
        <v>3.4965034965034961E-2</v>
      </c>
      <c r="P93" s="1">
        <v>7.3</v>
      </c>
      <c r="Q93">
        <f t="shared" si="9"/>
        <v>3.3534067178258069</v>
      </c>
      <c r="R93" s="1">
        <v>7.3</v>
      </c>
    </row>
    <row r="94" spans="1:18" x14ac:dyDescent="0.25">
      <c r="A94">
        <v>93</v>
      </c>
      <c r="B94" s="2">
        <v>217.7</v>
      </c>
      <c r="C94" s="2">
        <v>33.5</v>
      </c>
      <c r="D94" s="2">
        <v>59</v>
      </c>
      <c r="E94" s="1">
        <v>19.399999999999999</v>
      </c>
      <c r="F94">
        <f>$L$1+advertising!$M$1*advertising!B94+advertising!$N$1*advertising!C94</f>
        <v>19.217608251859311</v>
      </c>
      <c r="G94">
        <f t="shared" si="5"/>
        <v>3.3266749789816176E-2</v>
      </c>
      <c r="H94">
        <f t="shared" si="6"/>
        <v>28.917506249999956</v>
      </c>
      <c r="I94">
        <f t="shared" si="7"/>
        <v>26.989149748536676</v>
      </c>
      <c r="O94">
        <f t="shared" si="8"/>
        <v>4.5934772622875522E-3</v>
      </c>
      <c r="P94" s="1">
        <v>19.399999999999999</v>
      </c>
      <c r="Q94">
        <f t="shared" si="9"/>
        <v>5.3831179682405015</v>
      </c>
      <c r="R94" s="1">
        <v>19.399999999999999</v>
      </c>
    </row>
    <row r="95" spans="1:18" x14ac:dyDescent="0.25">
      <c r="A95">
        <v>94</v>
      </c>
      <c r="B95" s="2">
        <v>250.9</v>
      </c>
      <c r="C95" s="2">
        <v>36.5</v>
      </c>
      <c r="D95" s="2">
        <v>72.3</v>
      </c>
      <c r="E95" s="1">
        <v>22.2</v>
      </c>
      <c r="F95">
        <f>$L$1+advertising!$M$1*advertising!B95+advertising!$N$1*advertising!C95</f>
        <v>21.302584531733125</v>
      </c>
      <c r="G95">
        <f t="shared" si="5"/>
        <v>0.80535452268465391</v>
      </c>
      <c r="H95">
        <f t="shared" si="6"/>
        <v>66.871506249999939</v>
      </c>
      <c r="I95">
        <f t="shared" si="7"/>
        <v>52.999630789179868</v>
      </c>
      <c r="O95">
        <f t="shared" si="8"/>
        <v>3.9856516540454365E-3</v>
      </c>
      <c r="P95" s="1">
        <v>22.2</v>
      </c>
      <c r="Q95">
        <f t="shared" si="9"/>
        <v>5.5250544533723769</v>
      </c>
      <c r="R95" s="1">
        <v>22.2</v>
      </c>
    </row>
    <row r="96" spans="1:18" x14ac:dyDescent="0.25">
      <c r="A96">
        <v>95</v>
      </c>
      <c r="B96" s="2">
        <v>107.4</v>
      </c>
      <c r="C96" s="2">
        <v>14</v>
      </c>
      <c r="D96" s="2">
        <v>10.9</v>
      </c>
      <c r="E96" s="1">
        <v>11.5</v>
      </c>
      <c r="F96">
        <f>$L$1+advertising!$M$1*advertising!B96+advertising!$N$1*advertising!C96</f>
        <v>10.493432528223977</v>
      </c>
      <c r="G96">
        <f t="shared" si="5"/>
        <v>1.0131780752375752</v>
      </c>
      <c r="H96">
        <f t="shared" si="6"/>
        <v>6.3630062500000131</v>
      </c>
      <c r="I96">
        <f t="shared" si="7"/>
        <v>12.45431722034763</v>
      </c>
      <c r="O96">
        <f t="shared" si="8"/>
        <v>9.3109869646182484E-3</v>
      </c>
      <c r="P96" s="1">
        <v>11.5</v>
      </c>
      <c r="Q96">
        <f t="shared" si="9"/>
        <v>4.6765601820747644</v>
      </c>
      <c r="R96" s="1">
        <v>11.5</v>
      </c>
    </row>
    <row r="97" spans="1:18" x14ac:dyDescent="0.25">
      <c r="A97">
        <v>96</v>
      </c>
      <c r="B97" s="2">
        <v>163.30000000000001</v>
      </c>
      <c r="C97" s="2">
        <v>31.6</v>
      </c>
      <c r="D97" s="2">
        <v>52.9</v>
      </c>
      <c r="E97" s="1">
        <v>16.899999999999999</v>
      </c>
      <c r="F97">
        <f>$L$1+advertising!$M$1*advertising!B97+advertising!$N$1*advertising!C97</f>
        <v>16.369804506941094</v>
      </c>
      <c r="G97">
        <f t="shared" si="5"/>
        <v>0.28110726085997517</v>
      </c>
      <c r="H97">
        <f t="shared" si="6"/>
        <v>8.2800062499999765</v>
      </c>
      <c r="I97">
        <f t="shared" si="7"/>
        <v>5.5098384483059588</v>
      </c>
      <c r="O97">
        <f t="shared" si="8"/>
        <v>6.1236987140232697E-3</v>
      </c>
      <c r="P97" s="1">
        <v>16.899999999999999</v>
      </c>
      <c r="Q97">
        <f t="shared" si="9"/>
        <v>5.0955889999764192</v>
      </c>
      <c r="R97" s="1">
        <v>16.899999999999999</v>
      </c>
    </row>
    <row r="98" spans="1:18" x14ac:dyDescent="0.25">
      <c r="A98">
        <v>97</v>
      </c>
      <c r="B98" s="2">
        <v>197.6</v>
      </c>
      <c r="C98" s="2">
        <v>3.5</v>
      </c>
      <c r="D98" s="2">
        <v>5.9</v>
      </c>
      <c r="E98" s="1">
        <v>11.7</v>
      </c>
      <c r="F98">
        <f>$L$1+advertising!$M$1*advertising!B98+advertising!$N$1*advertising!C98</f>
        <v>12.64183837065969</v>
      </c>
      <c r="G98">
        <f t="shared" si="5"/>
        <v>0.88705951644690006</v>
      </c>
      <c r="H98">
        <f t="shared" si="6"/>
        <v>5.3940062500000154</v>
      </c>
      <c r="I98">
        <f t="shared" si="7"/>
        <v>1.9062265347326481</v>
      </c>
      <c r="O98">
        <f t="shared" si="8"/>
        <v>5.0607287449392713E-3</v>
      </c>
      <c r="P98" s="1">
        <v>11.7</v>
      </c>
      <c r="Q98">
        <f t="shared" si="9"/>
        <v>5.2862447853137677</v>
      </c>
      <c r="R98" s="1">
        <v>11.7</v>
      </c>
    </row>
    <row r="99" spans="1:18" x14ac:dyDescent="0.25">
      <c r="A99">
        <v>98</v>
      </c>
      <c r="B99" s="2">
        <v>184.9</v>
      </c>
      <c r="C99" s="2">
        <v>21</v>
      </c>
      <c r="D99" s="2">
        <v>22</v>
      </c>
      <c r="E99" s="1">
        <v>15.5</v>
      </c>
      <c r="F99">
        <f>$L$1+advertising!$M$1*advertising!B99+advertising!$N$1*advertising!C99</f>
        <v>15.359902669444716</v>
      </c>
      <c r="G99">
        <f t="shared" si="5"/>
        <v>1.9627262028716373E-2</v>
      </c>
      <c r="H99">
        <f t="shared" si="6"/>
        <v>2.183006249999992</v>
      </c>
      <c r="I99">
        <f t="shared" si="7"/>
        <v>1.7886459002378465</v>
      </c>
      <c r="O99">
        <f t="shared" si="8"/>
        <v>5.4083288263926449E-3</v>
      </c>
      <c r="P99" s="1">
        <v>15.5</v>
      </c>
      <c r="Q99">
        <f t="shared" si="9"/>
        <v>5.2198151383930789</v>
      </c>
      <c r="R99" s="1">
        <v>15.5</v>
      </c>
    </row>
    <row r="100" spans="1:18" x14ac:dyDescent="0.25">
      <c r="A100">
        <v>99</v>
      </c>
      <c r="B100" s="2">
        <v>289.7</v>
      </c>
      <c r="C100" s="2">
        <v>42.3</v>
      </c>
      <c r="D100" s="2">
        <v>51.2</v>
      </c>
      <c r="E100" s="1">
        <v>25.4</v>
      </c>
      <c r="F100">
        <f>$L$1+advertising!$M$1*advertising!B100+advertising!$N$1*advertising!C100</f>
        <v>24.171726873528133</v>
      </c>
      <c r="G100">
        <f t="shared" si="5"/>
        <v>1.5086548732129714</v>
      </c>
      <c r="H100">
        <f t="shared" si="6"/>
        <v>129.44750624999992</v>
      </c>
      <c r="I100">
        <f t="shared" si="7"/>
        <v>103.00680613034558</v>
      </c>
      <c r="O100">
        <f t="shared" si="8"/>
        <v>3.4518467380048328E-3</v>
      </c>
      <c r="P100" s="1">
        <v>25.4</v>
      </c>
      <c r="Q100">
        <f t="shared" si="9"/>
        <v>5.6688459047753046</v>
      </c>
      <c r="R100" s="1">
        <v>25.4</v>
      </c>
    </row>
    <row r="101" spans="1:18" x14ac:dyDescent="0.25">
      <c r="A101">
        <v>100</v>
      </c>
      <c r="B101" s="2">
        <v>135.19999999999999</v>
      </c>
      <c r="C101" s="2">
        <v>41.7</v>
      </c>
      <c r="D101" s="2">
        <v>45.9</v>
      </c>
      <c r="E101" s="1">
        <v>17.2</v>
      </c>
      <c r="F101">
        <f>$L$1+advertising!$M$1*advertising!B101+advertising!$N$1*advertising!C101</f>
        <v>16.987971140518287</v>
      </c>
      <c r="G101">
        <f t="shared" si="5"/>
        <v>4.4956237253115816E-2</v>
      </c>
      <c r="H101">
        <f t="shared" si="6"/>
        <v>10.09650624999998</v>
      </c>
      <c r="I101">
        <f t="shared" si="7"/>
        <v>8.7940190852468128</v>
      </c>
      <c r="O101">
        <f t="shared" si="8"/>
        <v>7.3964497041420123E-3</v>
      </c>
      <c r="P101" s="1">
        <v>17.2</v>
      </c>
      <c r="Q101">
        <f t="shared" si="9"/>
        <v>4.9067551636088638</v>
      </c>
      <c r="R101" s="1">
        <v>17.2</v>
      </c>
    </row>
    <row r="102" spans="1:18" x14ac:dyDescent="0.25">
      <c r="A102">
        <v>101</v>
      </c>
      <c r="B102" s="2">
        <v>222.4</v>
      </c>
      <c r="C102" s="2">
        <v>4.3</v>
      </c>
      <c r="D102" s="2">
        <v>49.8</v>
      </c>
      <c r="E102" s="1">
        <v>11.7</v>
      </c>
      <c r="F102">
        <f>$L$1+advertising!$M$1*advertising!B102+advertising!$N$1*advertising!C102</f>
        <v>13.927625591488114</v>
      </c>
      <c r="G102">
        <f t="shared" si="5"/>
        <v>4.9623157758527752</v>
      </c>
      <c r="H102">
        <f t="shared" si="6"/>
        <v>5.3940062500000154</v>
      </c>
      <c r="I102">
        <f t="shared" si="7"/>
        <v>9.0011533904806474E-3</v>
      </c>
      <c r="O102">
        <f t="shared" si="8"/>
        <v>4.4964028776978415E-3</v>
      </c>
      <c r="P102" s="1">
        <v>11.7</v>
      </c>
      <c r="Q102">
        <f t="shared" si="9"/>
        <v>5.4044775623764272</v>
      </c>
      <c r="R102" s="1">
        <v>11.7</v>
      </c>
    </row>
    <row r="103" spans="1:18" x14ac:dyDescent="0.25">
      <c r="A103">
        <v>102</v>
      </c>
      <c r="B103" s="2">
        <v>296.39999999999998</v>
      </c>
      <c r="C103" s="2">
        <v>36.299999999999997</v>
      </c>
      <c r="D103" s="2">
        <v>100.9</v>
      </c>
      <c r="E103" s="1">
        <v>23.8</v>
      </c>
      <c r="F103">
        <f>$L$1+advertising!$M$1*advertising!B103+advertising!$N$1*advertising!C103</f>
        <v>23.347169896570069</v>
      </c>
      <c r="G103">
        <f t="shared" si="5"/>
        <v>0.20505510257236273</v>
      </c>
      <c r="H103">
        <f t="shared" si="6"/>
        <v>95.599506249999962</v>
      </c>
      <c r="I103">
        <f t="shared" si="7"/>
        <v>86.94946868000001</v>
      </c>
      <c r="O103">
        <f t="shared" si="8"/>
        <v>3.3738191632928477E-3</v>
      </c>
      <c r="P103" s="1">
        <v>23.8</v>
      </c>
      <c r="Q103">
        <f t="shared" si="9"/>
        <v>5.6917098934219315</v>
      </c>
      <c r="R103" s="1">
        <v>23.8</v>
      </c>
    </row>
    <row r="104" spans="1:18" x14ac:dyDescent="0.25">
      <c r="A104">
        <v>103</v>
      </c>
      <c r="B104" s="2">
        <v>280.2</v>
      </c>
      <c r="C104" s="2">
        <v>10.1</v>
      </c>
      <c r="D104" s="2">
        <v>21.4</v>
      </c>
      <c r="E104" s="1">
        <v>14.8</v>
      </c>
      <c r="F104">
        <f>$L$1+advertising!$M$1*advertising!B104+advertising!$N$1*advertising!C104</f>
        <v>17.666296196935676</v>
      </c>
      <c r="G104">
        <f t="shared" si="5"/>
        <v>8.215653888567914</v>
      </c>
      <c r="H104">
        <f t="shared" si="6"/>
        <v>0.60450624999999703</v>
      </c>
      <c r="I104">
        <f t="shared" si="7"/>
        <v>13.277250724802874</v>
      </c>
      <c r="O104">
        <f t="shared" si="8"/>
        <v>3.5688793718772309E-3</v>
      </c>
      <c r="P104" s="1">
        <v>14.8</v>
      </c>
      <c r="Q104">
        <f t="shared" si="9"/>
        <v>5.635503633902907</v>
      </c>
      <c r="R104" s="1">
        <v>14.8</v>
      </c>
    </row>
    <row r="105" spans="1:18" x14ac:dyDescent="0.25">
      <c r="A105">
        <v>104</v>
      </c>
      <c r="B105" s="2">
        <v>187.9</v>
      </c>
      <c r="C105" s="2">
        <v>17.2</v>
      </c>
      <c r="D105" s="2">
        <v>17.899999999999999</v>
      </c>
      <c r="E105" s="1">
        <v>14.7</v>
      </c>
      <c r="F105">
        <f>$L$1+advertising!$M$1*advertising!B105+advertising!$N$1*advertising!C105</f>
        <v>14.780782541521733</v>
      </c>
      <c r="G105">
        <f t="shared" si="5"/>
        <v>6.5258190147105752E-3</v>
      </c>
      <c r="H105">
        <f t="shared" si="6"/>
        <v>0.45900624999999545</v>
      </c>
      <c r="I105">
        <f t="shared" si="7"/>
        <v>0.57499241277665425</v>
      </c>
      <c r="O105">
        <f t="shared" si="8"/>
        <v>5.3219797764768491E-3</v>
      </c>
      <c r="P105" s="1">
        <v>14.7</v>
      </c>
      <c r="Q105">
        <f t="shared" si="9"/>
        <v>5.2359099064194199</v>
      </c>
      <c r="R105" s="1">
        <v>14.7</v>
      </c>
    </row>
    <row r="106" spans="1:18" x14ac:dyDescent="0.25">
      <c r="A106">
        <v>105</v>
      </c>
      <c r="B106" s="2">
        <v>238.2</v>
      </c>
      <c r="C106" s="2">
        <v>34.299999999999997</v>
      </c>
      <c r="D106" s="2">
        <v>5.3</v>
      </c>
      <c r="E106" s="1">
        <v>20.7</v>
      </c>
      <c r="F106">
        <f>$L$1+advertising!$M$1*advertising!B106+advertising!$N$1*advertising!C106</f>
        <v>20.306607497229521</v>
      </c>
      <c r="G106">
        <f t="shared" si="5"/>
        <v>0.15475766123602061</v>
      </c>
      <c r="H106">
        <f t="shared" si="6"/>
        <v>44.589006249999954</v>
      </c>
      <c r="I106">
        <f t="shared" si="7"/>
        <v>39.490007036736245</v>
      </c>
      <c r="O106">
        <f t="shared" si="8"/>
        <v>4.1981528127623844E-3</v>
      </c>
      <c r="P106" s="1">
        <v>20.7</v>
      </c>
      <c r="Q106">
        <f t="shared" si="9"/>
        <v>5.4731106569211994</v>
      </c>
      <c r="R106" s="1">
        <v>20.7</v>
      </c>
    </row>
    <row r="107" spans="1:18" x14ac:dyDescent="0.25">
      <c r="A107">
        <v>106</v>
      </c>
      <c r="B107" s="2">
        <v>137.9</v>
      </c>
      <c r="C107" s="2">
        <v>46.4</v>
      </c>
      <c r="D107" s="2">
        <v>59</v>
      </c>
      <c r="E107" s="1">
        <v>19.2</v>
      </c>
      <c r="F107">
        <f>$L$1+advertising!$M$1*advertising!B107+advertising!$N$1*advertising!C107</f>
        <v>17.997626762763421</v>
      </c>
      <c r="G107">
        <f t="shared" si="5"/>
        <v>1.4457014016227696</v>
      </c>
      <c r="H107">
        <f t="shared" si="6"/>
        <v>26.806506249999966</v>
      </c>
      <c r="I107">
        <f t="shared" si="7"/>
        <v>15.801632780037972</v>
      </c>
      <c r="O107">
        <f t="shared" si="8"/>
        <v>7.2516316171138502E-3</v>
      </c>
      <c r="P107" s="1">
        <v>19.2</v>
      </c>
      <c r="Q107">
        <f t="shared" si="9"/>
        <v>4.926528784799256</v>
      </c>
      <c r="R107" s="1">
        <v>19.2</v>
      </c>
    </row>
    <row r="108" spans="1:18" x14ac:dyDescent="0.25">
      <c r="A108">
        <v>107</v>
      </c>
      <c r="B108" s="2">
        <v>25</v>
      </c>
      <c r="C108" s="2">
        <v>11</v>
      </c>
      <c r="D108" s="2">
        <v>29.7</v>
      </c>
      <c r="E108" s="1">
        <v>7.2</v>
      </c>
      <c r="F108">
        <f>$L$1+advertising!$M$1*advertising!B108+advertising!$N$1*advertising!C108</f>
        <v>6.1568356919446039</v>
      </c>
      <c r="G108">
        <f t="shared" si="5"/>
        <v>1.0881917736006936</v>
      </c>
      <c r="H108">
        <f t="shared" si="6"/>
        <v>46.546506250000036</v>
      </c>
      <c r="I108">
        <f t="shared" si="7"/>
        <v>61.868675007016613</v>
      </c>
      <c r="O108">
        <f t="shared" si="8"/>
        <v>0.04</v>
      </c>
      <c r="P108" s="1">
        <v>7.2</v>
      </c>
      <c r="Q108">
        <f t="shared" si="9"/>
        <v>3.2188758248682006</v>
      </c>
      <c r="R108" s="1">
        <v>7.2</v>
      </c>
    </row>
    <row r="109" spans="1:18" x14ac:dyDescent="0.25">
      <c r="A109">
        <v>108</v>
      </c>
      <c r="B109" s="2">
        <v>90.4</v>
      </c>
      <c r="C109" s="2">
        <v>0.3</v>
      </c>
      <c r="D109" s="2">
        <v>23.2</v>
      </c>
      <c r="E109" s="1">
        <v>8.6999999999999993</v>
      </c>
      <c r="F109">
        <f>$L$1+advertising!$M$1*advertising!B109+advertising!$N$1*advertising!C109</f>
        <v>7.132572323702818</v>
      </c>
      <c r="G109">
        <f t="shared" si="5"/>
        <v>2.4568295204223811</v>
      </c>
      <c r="H109">
        <f t="shared" si="6"/>
        <v>28.329006250000035</v>
      </c>
      <c r="I109">
        <f t="shared" si="7"/>
        <v>47.471103384605925</v>
      </c>
      <c r="O109">
        <f t="shared" si="8"/>
        <v>1.1061946902654867E-2</v>
      </c>
      <c r="P109" s="1">
        <v>8.6999999999999993</v>
      </c>
      <c r="Q109">
        <f t="shared" si="9"/>
        <v>4.5042442673981311</v>
      </c>
      <c r="R109" s="1">
        <v>8.6999999999999993</v>
      </c>
    </row>
    <row r="110" spans="1:18" x14ac:dyDescent="0.25">
      <c r="A110">
        <v>109</v>
      </c>
      <c r="B110" s="2">
        <v>13.1</v>
      </c>
      <c r="C110" s="2">
        <v>0.4</v>
      </c>
      <c r="D110" s="2">
        <v>25.6</v>
      </c>
      <c r="E110" s="1">
        <v>5.3</v>
      </c>
      <c r="F110">
        <f>$L$1+advertising!$M$1*advertising!B110+advertising!$N$1*advertising!C110</f>
        <v>3.6138182316924072</v>
      </c>
      <c r="G110">
        <f t="shared" si="5"/>
        <v>2.8432089557729197</v>
      </c>
      <c r="H110">
        <f t="shared" si="6"/>
        <v>76.082006250000063</v>
      </c>
      <c r="I110">
        <f t="shared" si="7"/>
        <v>108.34065615389892</v>
      </c>
      <c r="O110">
        <f t="shared" si="8"/>
        <v>7.6335877862595422E-2</v>
      </c>
      <c r="P110" s="1">
        <v>5.3</v>
      </c>
      <c r="Q110">
        <f t="shared" si="9"/>
        <v>2.5726122302071057</v>
      </c>
      <c r="R110" s="1">
        <v>5.3</v>
      </c>
    </row>
    <row r="111" spans="1:18" x14ac:dyDescent="0.25">
      <c r="A111">
        <v>110</v>
      </c>
      <c r="B111" s="2">
        <v>255.4</v>
      </c>
      <c r="C111" s="2">
        <v>26.9</v>
      </c>
      <c r="D111" s="2">
        <v>5.5</v>
      </c>
      <c r="E111" s="1">
        <v>19.8</v>
      </c>
      <c r="F111">
        <f>$L$1+advertising!$M$1*advertising!B111+advertising!$N$1*advertising!C111</f>
        <v>19.69863727386765</v>
      </c>
      <c r="G111">
        <f t="shared" si="5"/>
        <v>1.027440224898192E-2</v>
      </c>
      <c r="H111">
        <f t="shared" si="6"/>
        <v>33.379506249999977</v>
      </c>
      <c r="I111">
        <f t="shared" si="7"/>
        <v>32.21853435178965</v>
      </c>
      <c r="O111">
        <f t="shared" si="8"/>
        <v>3.9154267815191858E-3</v>
      </c>
      <c r="P111" s="1">
        <v>19.8</v>
      </c>
      <c r="Q111">
        <f t="shared" si="9"/>
        <v>5.5428309435984389</v>
      </c>
      <c r="R111" s="1">
        <v>19.8</v>
      </c>
    </row>
    <row r="112" spans="1:18" x14ac:dyDescent="0.25">
      <c r="A112">
        <v>111</v>
      </c>
      <c r="B112" s="2">
        <v>225.8</v>
      </c>
      <c r="C112" s="2">
        <v>8.1999999999999993</v>
      </c>
      <c r="D112" s="2">
        <v>56.5</v>
      </c>
      <c r="E112" s="1">
        <v>13.4</v>
      </c>
      <c r="F112">
        <f>$L$1+advertising!$M$1*advertising!B112+advertising!$N$1*advertising!C112</f>
        <v>14.818492452017463</v>
      </c>
      <c r="G112">
        <f t="shared" si="5"/>
        <v>2.0121208364305123</v>
      </c>
      <c r="H112">
        <f t="shared" si="6"/>
        <v>0.38750625000000283</v>
      </c>
      <c r="I112">
        <f t="shared" si="7"/>
        <v>0.63360398366876824</v>
      </c>
      <c r="O112">
        <f t="shared" si="8"/>
        <v>4.4286979627989366E-3</v>
      </c>
      <c r="P112" s="1">
        <v>13.4</v>
      </c>
      <c r="Q112">
        <f t="shared" si="9"/>
        <v>5.4196496517155621</v>
      </c>
      <c r="R112" s="1">
        <v>13.4</v>
      </c>
    </row>
    <row r="113" spans="1:18" x14ac:dyDescent="0.25">
      <c r="A113">
        <v>112</v>
      </c>
      <c r="B113" s="2">
        <v>241.7</v>
      </c>
      <c r="C113" s="2">
        <v>38</v>
      </c>
      <c r="D113" s="2">
        <v>23.2</v>
      </c>
      <c r="E113" s="1">
        <v>21.8</v>
      </c>
      <c r="F113">
        <f>$L$1+advertising!$M$1*advertising!B113+advertising!$N$1*advertising!C113</f>
        <v>21.164344818920771</v>
      </c>
      <c r="G113">
        <f t="shared" si="5"/>
        <v>0.40405750923286832</v>
      </c>
      <c r="H113">
        <f t="shared" si="6"/>
        <v>60.48950624999997</v>
      </c>
      <c r="I113">
        <f t="shared" si="7"/>
        <v>51.005947417545421</v>
      </c>
      <c r="O113">
        <f t="shared" si="8"/>
        <v>4.1373603640877119E-3</v>
      </c>
      <c r="P113" s="1">
        <v>21.8</v>
      </c>
      <c r="Q113">
        <f t="shared" si="9"/>
        <v>5.4876972877094374</v>
      </c>
      <c r="R113" s="1">
        <v>21.8</v>
      </c>
    </row>
    <row r="114" spans="1:18" x14ac:dyDescent="0.25">
      <c r="A114">
        <v>113</v>
      </c>
      <c r="B114" s="2">
        <v>175.7</v>
      </c>
      <c r="C114" s="2">
        <v>15.4</v>
      </c>
      <c r="D114" s="2">
        <v>2.4</v>
      </c>
      <c r="E114" s="1">
        <v>14.1</v>
      </c>
      <c r="F114">
        <f>$L$1+advertising!$M$1*advertising!B114+advertising!$N$1*advertising!C114</f>
        <v>13.883099836513114</v>
      </c>
      <c r="G114">
        <f t="shared" si="5"/>
        <v>4.7045680920637545E-2</v>
      </c>
      <c r="H114">
        <f t="shared" si="6"/>
        <v>6.0062499999995371E-3</v>
      </c>
      <c r="I114">
        <f t="shared" si="7"/>
        <v>1.9432405580171164E-2</v>
      </c>
      <c r="O114">
        <f t="shared" si="8"/>
        <v>5.691519635742744E-3</v>
      </c>
      <c r="P114" s="1">
        <v>14.1</v>
      </c>
      <c r="Q114">
        <f t="shared" si="9"/>
        <v>5.168777995193051</v>
      </c>
      <c r="R114" s="1">
        <v>14.1</v>
      </c>
    </row>
    <row r="115" spans="1:18" x14ac:dyDescent="0.25">
      <c r="A115">
        <v>114</v>
      </c>
      <c r="B115" s="2">
        <v>209.6</v>
      </c>
      <c r="C115" s="2">
        <v>20.6</v>
      </c>
      <c r="D115" s="2">
        <v>10.7</v>
      </c>
      <c r="E115" s="1">
        <v>15.9</v>
      </c>
      <c r="F115">
        <f>$L$1+advertising!$M$1*advertising!B115+advertising!$N$1*advertising!C115</f>
        <v>16.414877405425756</v>
      </c>
      <c r="G115">
        <f t="shared" si="5"/>
        <v>0.26509874261795774</v>
      </c>
      <c r="H115">
        <f t="shared" si="6"/>
        <v>3.5250062499999917</v>
      </c>
      <c r="I115">
        <f t="shared" si="7"/>
        <v>5.7234696499916584</v>
      </c>
      <c r="O115">
        <f t="shared" si="8"/>
        <v>4.7709923664122139E-3</v>
      </c>
      <c r="P115" s="1">
        <v>15.9</v>
      </c>
      <c r="Q115">
        <f t="shared" si="9"/>
        <v>5.3452009524468869</v>
      </c>
      <c r="R115" s="1">
        <v>15.9</v>
      </c>
    </row>
    <row r="116" spans="1:18" x14ac:dyDescent="0.25">
      <c r="A116">
        <v>115</v>
      </c>
      <c r="B116" s="2">
        <v>78.2</v>
      </c>
      <c r="C116" s="2">
        <v>46.8</v>
      </c>
      <c r="D116" s="2">
        <v>34.5</v>
      </c>
      <c r="E116" s="1">
        <v>14.6</v>
      </c>
      <c r="F116">
        <f>$L$1+advertising!$M$1*advertising!B116+advertising!$N$1*advertising!C116</f>
        <v>15.340889435843467</v>
      </c>
      <c r="G116">
        <f t="shared" si="5"/>
        <v>0.54891715614445113</v>
      </c>
      <c r="H116">
        <f t="shared" si="6"/>
        <v>0.33350624999999656</v>
      </c>
      <c r="I116">
        <f t="shared" si="7"/>
        <v>1.738150704543648</v>
      </c>
      <c r="O116">
        <f t="shared" si="8"/>
        <v>1.278772378516624E-2</v>
      </c>
      <c r="P116" s="1">
        <v>14.6</v>
      </c>
      <c r="Q116">
        <f t="shared" si="9"/>
        <v>4.3592696475512653</v>
      </c>
      <c r="R116" s="1">
        <v>14.6</v>
      </c>
    </row>
    <row r="117" spans="1:18" x14ac:dyDescent="0.25">
      <c r="A117">
        <v>116</v>
      </c>
      <c r="B117" s="2">
        <v>75.099999999999994</v>
      </c>
      <c r="C117" s="2">
        <v>35</v>
      </c>
      <c r="D117" s="2">
        <v>52.7</v>
      </c>
      <c r="E117" s="1">
        <v>12.6</v>
      </c>
      <c r="F117">
        <f>$L$1+advertising!$M$1*advertising!B117+advertising!$N$1*advertising!C117</f>
        <v>12.974364835296925</v>
      </c>
      <c r="G117">
        <f t="shared" si="5"/>
        <v>0.14014902990689368</v>
      </c>
      <c r="H117">
        <f t="shared" si="6"/>
        <v>2.0235062500000085</v>
      </c>
      <c r="I117">
        <f t="shared" si="7"/>
        <v>1.0985873234871486</v>
      </c>
      <c r="O117">
        <f t="shared" si="8"/>
        <v>1.3315579227696406E-2</v>
      </c>
      <c r="P117" s="1">
        <v>12.6</v>
      </c>
      <c r="Q117">
        <f t="shared" si="9"/>
        <v>4.3188205587700894</v>
      </c>
      <c r="R117" s="1">
        <v>12.6</v>
      </c>
    </row>
    <row r="118" spans="1:18" x14ac:dyDescent="0.25">
      <c r="A118">
        <v>117</v>
      </c>
      <c r="B118" s="2">
        <v>139.19999999999999</v>
      </c>
      <c r="C118" s="2">
        <v>14.3</v>
      </c>
      <c r="D118" s="2">
        <v>25.6</v>
      </c>
      <c r="E118" s="1">
        <v>12.2</v>
      </c>
      <c r="F118">
        <f>$L$1+advertising!$M$1*advertising!B118+advertising!$N$1*advertising!C118</f>
        <v>12.005307258781079</v>
      </c>
      <c r="G118">
        <f t="shared" si="5"/>
        <v>3.7905263483337649E-2</v>
      </c>
      <c r="H118">
        <f t="shared" si="6"/>
        <v>3.3215062500000121</v>
      </c>
      <c r="I118">
        <f t="shared" si="7"/>
        <v>4.0690665552263177</v>
      </c>
      <c r="O118">
        <f t="shared" si="8"/>
        <v>7.1839080459770123E-3</v>
      </c>
      <c r="P118" s="1">
        <v>12.2</v>
      </c>
      <c r="Q118">
        <f t="shared" si="9"/>
        <v>4.9359117479003194</v>
      </c>
      <c r="R118" s="1">
        <v>12.2</v>
      </c>
    </row>
    <row r="119" spans="1:18" x14ac:dyDescent="0.25">
      <c r="A119">
        <v>118</v>
      </c>
      <c r="B119" s="2">
        <v>76.400000000000006</v>
      </c>
      <c r="C119" s="2">
        <v>0.8</v>
      </c>
      <c r="D119" s="2">
        <v>14.8</v>
      </c>
      <c r="E119" s="1">
        <v>9.4</v>
      </c>
      <c r="F119">
        <f>$L$1+advertising!$M$1*advertising!B119+advertising!$N$1*advertising!C119</f>
        <v>6.5861322957863546</v>
      </c>
      <c r="G119">
        <f t="shared" si="5"/>
        <v>7.9178514568165737</v>
      </c>
      <c r="H119">
        <f t="shared" si="6"/>
        <v>21.367506250000019</v>
      </c>
      <c r="I119">
        <f t="shared" si="7"/>
        <v>55.29956463227176</v>
      </c>
      <c r="O119">
        <f t="shared" si="8"/>
        <v>1.3089005235602092E-2</v>
      </c>
      <c r="P119" s="1">
        <v>9.4</v>
      </c>
      <c r="Q119">
        <f t="shared" si="9"/>
        <v>4.3359826961724748</v>
      </c>
      <c r="R119" s="1">
        <v>9.4</v>
      </c>
    </row>
    <row r="120" spans="1:18" x14ac:dyDescent="0.25">
      <c r="A120">
        <v>119</v>
      </c>
      <c r="B120" s="2">
        <v>125.7</v>
      </c>
      <c r="C120" s="2">
        <v>36.9</v>
      </c>
      <c r="D120" s="2">
        <v>79.2</v>
      </c>
      <c r="E120" s="1">
        <v>15.9</v>
      </c>
      <c r="F120">
        <f>$L$1+advertising!$M$1*advertising!B120+advertising!$N$1*advertising!C120</f>
        <v>15.64826292748463</v>
      </c>
      <c r="G120">
        <f t="shared" si="5"/>
        <v>6.3371553678608666E-2</v>
      </c>
      <c r="H120">
        <f t="shared" si="6"/>
        <v>3.5250062499999917</v>
      </c>
      <c r="I120">
        <f t="shared" si="7"/>
        <v>2.6431050963833869</v>
      </c>
      <c r="O120">
        <f t="shared" si="8"/>
        <v>7.955449482895784E-3</v>
      </c>
      <c r="P120" s="1">
        <v>15.9</v>
      </c>
      <c r="Q120">
        <f t="shared" si="9"/>
        <v>4.8338981155962015</v>
      </c>
      <c r="R120" s="1">
        <v>15.9</v>
      </c>
    </row>
    <row r="121" spans="1:18" x14ac:dyDescent="0.25">
      <c r="A121">
        <v>120</v>
      </c>
      <c r="B121" s="2">
        <v>19.399999999999999</v>
      </c>
      <c r="C121" s="2">
        <v>16</v>
      </c>
      <c r="D121" s="2">
        <v>22.3</v>
      </c>
      <c r="E121" s="1">
        <v>6.6</v>
      </c>
      <c r="F121">
        <f>$L$1+advertising!$M$1*advertising!B121+advertising!$N$1*advertising!C121</f>
        <v>6.8432037619853991</v>
      </c>
      <c r="G121">
        <f t="shared" si="5"/>
        <v>5.9148069843850855E-2</v>
      </c>
      <c r="H121">
        <f t="shared" si="6"/>
        <v>55.093506250000047</v>
      </c>
      <c r="I121">
        <f t="shared" si="7"/>
        <v>51.542294473170635</v>
      </c>
      <c r="O121">
        <f t="shared" si="8"/>
        <v>5.1546391752577324E-2</v>
      </c>
      <c r="P121" s="1">
        <v>6.6</v>
      </c>
      <c r="Q121">
        <f t="shared" si="9"/>
        <v>2.9652730660692823</v>
      </c>
      <c r="R121" s="1">
        <v>6.6</v>
      </c>
    </row>
    <row r="122" spans="1:18" x14ac:dyDescent="0.25">
      <c r="A122">
        <v>121</v>
      </c>
      <c r="B122" s="2">
        <v>141.30000000000001</v>
      </c>
      <c r="C122" s="2">
        <v>26.8</v>
      </c>
      <c r="D122" s="2">
        <v>46.2</v>
      </c>
      <c r="E122" s="1">
        <v>15.5</v>
      </c>
      <c r="F122">
        <f>$L$1+advertising!$M$1*advertising!B122+advertising!$N$1*advertising!C122</f>
        <v>14.458038225714969</v>
      </c>
      <c r="G122">
        <f t="shared" si="5"/>
        <v>1.0856843390712105</v>
      </c>
      <c r="H122">
        <f t="shared" si="6"/>
        <v>2.183006249999992</v>
      </c>
      <c r="I122">
        <f t="shared" si="7"/>
        <v>0.1896935460589407</v>
      </c>
      <c r="O122">
        <f t="shared" si="8"/>
        <v>7.0771408351026181E-3</v>
      </c>
      <c r="P122" s="1">
        <v>15.5</v>
      </c>
      <c r="Q122">
        <f t="shared" si="9"/>
        <v>4.9508852896904818</v>
      </c>
      <c r="R122" s="1">
        <v>15.5</v>
      </c>
    </row>
    <row r="123" spans="1:18" x14ac:dyDescent="0.25">
      <c r="A123">
        <v>122</v>
      </c>
      <c r="B123" s="2">
        <v>18.8</v>
      </c>
      <c r="C123" s="2">
        <v>21.7</v>
      </c>
      <c r="D123" s="2">
        <v>50.4</v>
      </c>
      <c r="E123" s="1">
        <v>7</v>
      </c>
      <c r="F123">
        <f>$L$1+advertising!$M$1*advertising!B123+advertising!$N$1*advertising!C123</f>
        <v>7.8903660711459249</v>
      </c>
      <c r="G123">
        <f t="shared" si="5"/>
        <v>0.79275174064783027</v>
      </c>
      <c r="H123">
        <f t="shared" si="6"/>
        <v>49.315506250000034</v>
      </c>
      <c r="I123">
        <f t="shared" si="7"/>
        <v>37.603066521403349</v>
      </c>
      <c r="O123">
        <f t="shared" si="8"/>
        <v>5.3191489361702128E-2</v>
      </c>
      <c r="P123" s="1">
        <v>7</v>
      </c>
      <c r="Q123">
        <f t="shared" si="9"/>
        <v>2.9338568698359038</v>
      </c>
      <c r="R123" s="1">
        <v>7</v>
      </c>
    </row>
    <row r="124" spans="1:18" x14ac:dyDescent="0.25">
      <c r="A124">
        <v>123</v>
      </c>
      <c r="B124" s="2">
        <v>224</v>
      </c>
      <c r="C124" s="2">
        <v>2.4</v>
      </c>
      <c r="D124" s="2">
        <v>15.6</v>
      </c>
      <c r="E124" s="1">
        <v>11.6</v>
      </c>
      <c r="F124">
        <f>$L$1+advertising!$M$1*advertising!B124+advertising!$N$1*advertising!C124</f>
        <v>13.642641992072161</v>
      </c>
      <c r="G124">
        <f t="shared" si="5"/>
        <v>4.1723863077765264</v>
      </c>
      <c r="H124">
        <f t="shared" si="6"/>
        <v>5.8685062500000145</v>
      </c>
      <c r="I124">
        <f t="shared" si="7"/>
        <v>0.14429210618690846</v>
      </c>
      <c r="O124">
        <f t="shared" si="8"/>
        <v>4.464285714285714E-3</v>
      </c>
      <c r="P124" s="1">
        <v>11.6</v>
      </c>
      <c r="Q124">
        <f t="shared" si="9"/>
        <v>5.4116460518550396</v>
      </c>
      <c r="R124" s="1">
        <v>11.6</v>
      </c>
    </row>
    <row r="125" spans="1:18" x14ac:dyDescent="0.25">
      <c r="A125">
        <v>124</v>
      </c>
      <c r="B125" s="2">
        <v>123.1</v>
      </c>
      <c r="C125" s="2">
        <v>34.6</v>
      </c>
      <c r="D125" s="2">
        <v>12.4</v>
      </c>
      <c r="E125" s="1">
        <v>15.2</v>
      </c>
      <c r="F125">
        <f>$L$1+advertising!$M$1*advertising!B125+advertising!$N$1*advertising!C125</f>
        <v>15.095655810388726</v>
      </c>
      <c r="G125">
        <f t="shared" si="5"/>
        <v>1.0887709905633409E-2</v>
      </c>
      <c r="H125">
        <f t="shared" si="6"/>
        <v>1.3865062499999921</v>
      </c>
      <c r="I125">
        <f t="shared" si="7"/>
        <v>1.1516633933710769</v>
      </c>
      <c r="O125">
        <f t="shared" si="8"/>
        <v>8.1234768480909839E-3</v>
      </c>
      <c r="P125" s="1">
        <v>15.2</v>
      </c>
      <c r="Q125">
        <f t="shared" si="9"/>
        <v>4.8129970331904079</v>
      </c>
      <c r="R125" s="1">
        <v>15.2</v>
      </c>
    </row>
    <row r="126" spans="1:18" x14ac:dyDescent="0.25">
      <c r="A126">
        <v>125</v>
      </c>
      <c r="B126" s="2">
        <v>229.5</v>
      </c>
      <c r="C126" s="2">
        <v>32.299999999999997</v>
      </c>
      <c r="D126" s="2">
        <v>74.2</v>
      </c>
      <c r="E126" s="1">
        <v>19.7</v>
      </c>
      <c r="F126">
        <f>$L$1+advertising!$M$1*advertising!B126+advertising!$N$1*advertising!C126</f>
        <v>19.531395047931156</v>
      </c>
      <c r="G126">
        <f t="shared" si="5"/>
        <v>2.8427629862137021E-2</v>
      </c>
      <c r="H126">
        <f t="shared" si="6"/>
        <v>32.234006249999965</v>
      </c>
      <c r="I126">
        <f t="shared" si="7"/>
        <v>30.347924649120383</v>
      </c>
      <c r="O126">
        <f t="shared" si="8"/>
        <v>4.3572984749455342E-3</v>
      </c>
      <c r="P126" s="1">
        <v>19.7</v>
      </c>
      <c r="Q126">
        <f t="shared" si="9"/>
        <v>5.4359030295005999</v>
      </c>
      <c r="R126" s="1">
        <v>19.7</v>
      </c>
    </row>
    <row r="127" spans="1:18" x14ac:dyDescent="0.25">
      <c r="A127">
        <v>126</v>
      </c>
      <c r="B127" s="2">
        <v>87.2</v>
      </c>
      <c r="C127" s="2">
        <v>11.8</v>
      </c>
      <c r="D127" s="2">
        <v>25.9</v>
      </c>
      <c r="E127" s="1">
        <v>10.6</v>
      </c>
      <c r="F127">
        <f>$L$1+advertising!$M$1*advertising!B127+advertising!$N$1*advertising!C127</f>
        <v>9.1542206528048951</v>
      </c>
      <c r="G127">
        <f t="shared" si="5"/>
        <v>2.0902779207759026</v>
      </c>
      <c r="H127">
        <f t="shared" si="6"/>
        <v>11.71350625000002</v>
      </c>
      <c r="I127">
        <f t="shared" si="7"/>
        <v>23.700143802326423</v>
      </c>
      <c r="O127">
        <f t="shared" si="8"/>
        <v>1.146788990825688E-2</v>
      </c>
      <c r="P127" s="1">
        <v>10.6</v>
      </c>
      <c r="Q127">
        <f t="shared" si="9"/>
        <v>4.4682043309149337</v>
      </c>
      <c r="R127" s="1">
        <v>10.6</v>
      </c>
    </row>
    <row r="128" spans="1:18" x14ac:dyDescent="0.25">
      <c r="A128">
        <v>127</v>
      </c>
      <c r="B128" s="2">
        <v>7.8</v>
      </c>
      <c r="C128" s="2">
        <v>38.9</v>
      </c>
      <c r="D128" s="2">
        <v>50.6</v>
      </c>
      <c r="E128" s="1">
        <v>6.6</v>
      </c>
      <c r="F128">
        <f>$L$1+advertising!$M$1*advertising!B128+advertising!$N$1*advertising!C128</f>
        <v>10.629671262129666</v>
      </c>
      <c r="G128">
        <f t="shared" si="5"/>
        <v>16.238250480833695</v>
      </c>
      <c r="H128">
        <f t="shared" si="6"/>
        <v>55.093506250000047</v>
      </c>
      <c r="I128">
        <f t="shared" si="7"/>
        <v>11.511286844518825</v>
      </c>
      <c r="O128">
        <f t="shared" si="8"/>
        <v>0.12820512820512822</v>
      </c>
      <c r="P128" s="1">
        <v>6.6</v>
      </c>
      <c r="Q128">
        <f t="shared" si="9"/>
        <v>2.0541237336955462</v>
      </c>
      <c r="R128" s="1">
        <v>6.6</v>
      </c>
    </row>
    <row r="129" spans="1:18" x14ac:dyDescent="0.25">
      <c r="A129">
        <v>128</v>
      </c>
      <c r="B129" s="2">
        <v>80.2</v>
      </c>
      <c r="C129" s="2">
        <v>0</v>
      </c>
      <c r="D129" s="2">
        <v>9.1999999999999993</v>
      </c>
      <c r="E129" s="1">
        <v>8.8000000000000007</v>
      </c>
      <c r="F129">
        <f>$L$1+advertising!$M$1*advertising!B129+advertising!$N$1*advertising!C129</f>
        <v>6.6092139349823018</v>
      </c>
      <c r="G129">
        <f t="shared" si="5"/>
        <v>4.7995435826757333</v>
      </c>
      <c r="H129">
        <f t="shared" si="6"/>
        <v>27.274506250000019</v>
      </c>
      <c r="I129">
        <f t="shared" si="7"/>
        <v>54.956810281785629</v>
      </c>
      <c r="O129">
        <f t="shared" si="8"/>
        <v>1.2468827930174562E-2</v>
      </c>
      <c r="P129" s="1">
        <v>8.8000000000000007</v>
      </c>
      <c r="Q129">
        <f t="shared" si="9"/>
        <v>4.3845235148724688</v>
      </c>
      <c r="R129" s="1">
        <v>8.8000000000000007</v>
      </c>
    </row>
    <row r="130" spans="1:18" x14ac:dyDescent="0.25">
      <c r="A130">
        <v>129</v>
      </c>
      <c r="B130" s="2">
        <v>220.3</v>
      </c>
      <c r="C130" s="2">
        <v>49</v>
      </c>
      <c r="D130" s="2">
        <v>3.2</v>
      </c>
      <c r="E130" s="1">
        <v>24.7</v>
      </c>
      <c r="F130">
        <f>$L$1+advertising!$M$1*advertising!B130+advertising!$N$1*advertising!C130</f>
        <v>22.258811592275514</v>
      </c>
      <c r="G130">
        <f t="shared" si="5"/>
        <v>5.9594008420084092</v>
      </c>
      <c r="H130">
        <f t="shared" si="6"/>
        <v>114.00900624999993</v>
      </c>
      <c r="I130">
        <f t="shared" si="7"/>
        <v>67.836828645051966</v>
      </c>
      <c r="O130">
        <f t="shared" si="8"/>
        <v>4.5392646391284605E-3</v>
      </c>
      <c r="P130" s="1">
        <v>24.7</v>
      </c>
      <c r="Q130">
        <f t="shared" si="9"/>
        <v>5.3949902538082979</v>
      </c>
      <c r="R130" s="1">
        <v>24.7</v>
      </c>
    </row>
    <row r="131" spans="1:18" x14ac:dyDescent="0.25">
      <c r="A131">
        <v>130</v>
      </c>
      <c r="B131" s="2">
        <v>59.6</v>
      </c>
      <c r="C131" s="2">
        <v>12</v>
      </c>
      <c r="D131" s="2">
        <v>43.1</v>
      </c>
      <c r="E131" s="1">
        <v>9.6999999999999993</v>
      </c>
      <c r="F131">
        <f>$L$1+advertising!$M$1*advertising!B131+advertising!$N$1*advertising!C131</f>
        <v>7.9288224416195634</v>
      </c>
      <c r="G131">
        <f t="shared" ref="G131:G194" si="10">(E131-F131)^2</f>
        <v>3.1370699433104825</v>
      </c>
      <c r="H131">
        <f t="shared" ref="H131:H194" si="11">(E131-AVERAGE($E$2:$E$201))^2</f>
        <v>18.684006250000028</v>
      </c>
      <c r="I131">
        <f t="shared" ref="I131:I194" si="12">(F131-AVERAGE($E$2:$E$201))^2</f>
        <v>37.132906185509391</v>
      </c>
      <c r="O131">
        <f t="shared" ref="O131:O194" si="13">1/B131</f>
        <v>1.6778523489932886E-2</v>
      </c>
      <c r="P131" s="1">
        <v>9.6999999999999993</v>
      </c>
      <c r="Q131">
        <f t="shared" ref="Q131:Q194" si="14">LN(B131)</f>
        <v>4.0876555740713041</v>
      </c>
      <c r="R131" s="1">
        <v>9.6999999999999993</v>
      </c>
    </row>
    <row r="132" spans="1:18" x14ac:dyDescent="0.25">
      <c r="A132">
        <v>131</v>
      </c>
      <c r="B132" s="2">
        <v>0.7</v>
      </c>
      <c r="C132" s="2">
        <v>39.6</v>
      </c>
      <c r="D132" s="2">
        <v>8.6999999999999993</v>
      </c>
      <c r="E132" s="1">
        <v>1.6</v>
      </c>
      <c r="F132">
        <f>$L$1+advertising!$M$1*advertising!B132+advertising!$N$1*advertising!C132</f>
        <v>10.436713291239087</v>
      </c>
      <c r="G132">
        <f t="shared" si="10"/>
        <v>78.08750179156155</v>
      </c>
      <c r="H132">
        <f t="shared" si="11"/>
        <v>154.31850625000007</v>
      </c>
      <c r="I132">
        <f t="shared" si="12"/>
        <v>12.857866320726439</v>
      </c>
      <c r="O132">
        <f t="shared" si="13"/>
        <v>1.4285714285714286</v>
      </c>
      <c r="P132" s="1">
        <v>1.6</v>
      </c>
      <c r="Q132">
        <f t="shared" si="14"/>
        <v>-0.35667494393873245</v>
      </c>
      <c r="R132" s="1">
        <v>1.6</v>
      </c>
    </row>
    <row r="133" spans="1:18" x14ac:dyDescent="0.25">
      <c r="A133">
        <v>132</v>
      </c>
      <c r="B133" s="2">
        <v>265.2</v>
      </c>
      <c r="C133" s="2">
        <v>2.9</v>
      </c>
      <c r="D133" s="2">
        <v>43</v>
      </c>
      <c r="E133" s="1">
        <v>12.7</v>
      </c>
      <c r="F133">
        <f>$L$1+advertising!$M$1*advertising!B133+advertising!$N$1*advertising!C133</f>
        <v>15.622410393293643</v>
      </c>
      <c r="G133">
        <f t="shared" si="10"/>
        <v>8.5404825068307115</v>
      </c>
      <c r="H133">
        <f t="shared" si="11"/>
        <v>1.7490062500000088</v>
      </c>
      <c r="I133">
        <f t="shared" si="12"/>
        <v>2.5597132665690121</v>
      </c>
      <c r="O133">
        <f t="shared" si="13"/>
        <v>3.770739064856712E-3</v>
      </c>
      <c r="P133" s="1">
        <v>12.7</v>
      </c>
      <c r="Q133">
        <f t="shared" si="14"/>
        <v>5.5804842583117074</v>
      </c>
      <c r="R133" s="1">
        <v>12.7</v>
      </c>
    </row>
    <row r="134" spans="1:18" x14ac:dyDescent="0.25">
      <c r="A134">
        <v>133</v>
      </c>
      <c r="B134" s="2">
        <v>8.4</v>
      </c>
      <c r="C134" s="2">
        <v>27.2</v>
      </c>
      <c r="D134" s="2">
        <v>2.1</v>
      </c>
      <c r="E134" s="1">
        <v>5.7</v>
      </c>
      <c r="F134">
        <f>$L$1+advertising!$M$1*advertising!B134+advertising!$N$1*advertising!C134</f>
        <v>8.4513288514599143</v>
      </c>
      <c r="G134">
        <f t="shared" si="10"/>
        <v>7.5698104488757298</v>
      </c>
      <c r="H134">
        <f t="shared" si="11"/>
        <v>69.264006250000023</v>
      </c>
      <c r="I134">
        <f t="shared" si="12"/>
        <v>31.037947966325486</v>
      </c>
      <c r="O134">
        <f t="shared" si="13"/>
        <v>0.11904761904761904</v>
      </c>
      <c r="P134" s="1">
        <v>5.7</v>
      </c>
      <c r="Q134">
        <f t="shared" si="14"/>
        <v>2.1282317058492679</v>
      </c>
      <c r="R134" s="1">
        <v>5.7</v>
      </c>
    </row>
    <row r="135" spans="1:18" x14ac:dyDescent="0.25">
      <c r="A135">
        <v>134</v>
      </c>
      <c r="B135" s="2">
        <v>219.8</v>
      </c>
      <c r="C135" s="2">
        <v>33.5</v>
      </c>
      <c r="D135" s="2">
        <v>45.1</v>
      </c>
      <c r="E135" s="1">
        <v>19.600000000000001</v>
      </c>
      <c r="F135">
        <f>$L$1+advertising!$M$1*advertising!B135+advertising!$N$1*advertising!C135</f>
        <v>19.313714007315646</v>
      </c>
      <c r="G135">
        <f t="shared" si="10"/>
        <v>8.1959669607266861E-2</v>
      </c>
      <c r="H135">
        <f t="shared" si="11"/>
        <v>31.108506249999987</v>
      </c>
      <c r="I135">
        <f t="shared" si="12"/>
        <v>27.996945671213268</v>
      </c>
      <c r="O135">
        <f t="shared" si="13"/>
        <v>4.549590536851683E-3</v>
      </c>
      <c r="P135" s="1">
        <v>19.600000000000001</v>
      </c>
      <c r="Q135">
        <f t="shared" si="14"/>
        <v>5.3927180419695206</v>
      </c>
      <c r="R135" s="1">
        <v>19.600000000000001</v>
      </c>
    </row>
    <row r="136" spans="1:18" x14ac:dyDescent="0.25">
      <c r="A136">
        <v>135</v>
      </c>
      <c r="B136" s="2">
        <v>36.9</v>
      </c>
      <c r="C136" s="2">
        <v>38.6</v>
      </c>
      <c r="D136" s="2">
        <v>65.599999999999994</v>
      </c>
      <c r="E136" s="1">
        <v>10.8</v>
      </c>
      <c r="F136">
        <f>$L$1+advertising!$M$1*advertising!B136+advertising!$N$1*advertising!C136</f>
        <v>11.904863439806274</v>
      </c>
      <c r="G136">
        <f t="shared" si="10"/>
        <v>1.2207232206205501</v>
      </c>
      <c r="H136">
        <f t="shared" si="11"/>
        <v>10.384506250000012</v>
      </c>
      <c r="I136">
        <f t="shared" si="12"/>
        <v>4.4843846010691282</v>
      </c>
      <c r="O136">
        <f t="shared" si="13"/>
        <v>2.7100271002710029E-2</v>
      </c>
      <c r="P136" s="1">
        <v>10.8</v>
      </c>
      <c r="Q136">
        <f t="shared" si="14"/>
        <v>3.6082115510464816</v>
      </c>
      <c r="R136" s="1">
        <v>10.8</v>
      </c>
    </row>
    <row r="137" spans="1:18" x14ac:dyDescent="0.25">
      <c r="A137">
        <v>136</v>
      </c>
      <c r="B137" s="2">
        <v>48.3</v>
      </c>
      <c r="C137" s="2">
        <v>47</v>
      </c>
      <c r="D137" s="2">
        <v>8.5</v>
      </c>
      <c r="E137" s="1">
        <v>11.6</v>
      </c>
      <c r="F137">
        <f>$L$1+advertising!$M$1*advertising!B137+advertising!$N$1*advertising!C137</f>
        <v>14.010232540110721</v>
      </c>
      <c r="G137">
        <f t="shared" si="10"/>
        <v>5.8092208974085793</v>
      </c>
      <c r="H137">
        <f t="shared" si="11"/>
        <v>5.8685062500000145</v>
      </c>
      <c r="I137">
        <f t="shared" si="12"/>
        <v>1.5049057213513772E-4</v>
      </c>
      <c r="O137">
        <f t="shared" si="13"/>
        <v>2.0703933747412008E-2</v>
      </c>
      <c r="P137" s="1">
        <v>11.6</v>
      </c>
      <c r="Q137">
        <f t="shared" si="14"/>
        <v>3.8774315606585268</v>
      </c>
      <c r="R137" s="1">
        <v>11.6</v>
      </c>
    </row>
    <row r="138" spans="1:18" x14ac:dyDescent="0.25">
      <c r="A138">
        <v>137</v>
      </c>
      <c r="B138" s="2">
        <v>25.6</v>
      </c>
      <c r="C138" s="2">
        <v>39</v>
      </c>
      <c r="D138" s="2">
        <v>9.3000000000000007</v>
      </c>
      <c r="E138" s="1">
        <v>9.5</v>
      </c>
      <c r="F138">
        <f>$L$1+advertising!$M$1*advertising!B138+advertising!$N$1*advertising!C138</f>
        <v>11.463134952927563</v>
      </c>
      <c r="G138">
        <f t="shared" si="10"/>
        <v>3.8538988434059043</v>
      </c>
      <c r="H138">
        <f t="shared" si="11"/>
        <v>20.453006250000023</v>
      </c>
      <c r="I138">
        <f t="shared" si="12"/>
        <v>6.5503494441761125</v>
      </c>
      <c r="O138">
        <f t="shared" si="13"/>
        <v>3.90625E-2</v>
      </c>
      <c r="P138" s="1">
        <v>9.5</v>
      </c>
      <c r="Q138">
        <f t="shared" si="14"/>
        <v>3.2425923514855168</v>
      </c>
      <c r="R138" s="1">
        <v>9.5</v>
      </c>
    </row>
    <row r="139" spans="1:18" x14ac:dyDescent="0.25">
      <c r="A139">
        <v>138</v>
      </c>
      <c r="B139" s="2">
        <v>273.7</v>
      </c>
      <c r="C139" s="2">
        <v>28.9</v>
      </c>
      <c r="D139" s="2">
        <v>59.7</v>
      </c>
      <c r="E139" s="1">
        <v>20.8</v>
      </c>
      <c r="F139">
        <f>$L$1+advertising!$M$1*advertising!B139+advertising!$N$1*advertising!C139</f>
        <v>20.913190319537833</v>
      </c>
      <c r="G139">
        <f t="shared" si="10"/>
        <v>1.2812048437076534E-2</v>
      </c>
      <c r="H139">
        <f t="shared" si="11"/>
        <v>45.934506249999977</v>
      </c>
      <c r="I139">
        <f t="shared" si="12"/>
        <v>47.481613079772366</v>
      </c>
      <c r="O139">
        <f t="shared" si="13"/>
        <v>3.6536353671903546E-3</v>
      </c>
      <c r="P139" s="1">
        <v>20.8</v>
      </c>
      <c r="Q139">
        <f t="shared" si="14"/>
        <v>5.6120326160466334</v>
      </c>
      <c r="R139" s="1">
        <v>20.8</v>
      </c>
    </row>
    <row r="140" spans="1:18" x14ac:dyDescent="0.25">
      <c r="A140">
        <v>139</v>
      </c>
      <c r="B140" s="2">
        <v>43</v>
      </c>
      <c r="C140" s="2">
        <v>25.9</v>
      </c>
      <c r="D140" s="2">
        <v>20.5</v>
      </c>
      <c r="E140" s="1">
        <v>9.6</v>
      </c>
      <c r="F140">
        <f>$L$1+advertising!$M$1*advertising!B140+advertising!$N$1*advertising!C140</f>
        <v>9.7896965622230034</v>
      </c>
      <c r="G140">
        <f t="shared" si="10"/>
        <v>3.5984785719225948E-2</v>
      </c>
      <c r="H140">
        <f t="shared" si="11"/>
        <v>19.558506250000026</v>
      </c>
      <c r="I140">
        <f t="shared" si="12"/>
        <v>17.916624942856782</v>
      </c>
      <c r="O140">
        <f t="shared" si="13"/>
        <v>2.3255813953488372E-2</v>
      </c>
      <c r="P140" s="1">
        <v>9.6</v>
      </c>
      <c r="Q140">
        <f t="shared" si="14"/>
        <v>3.7612001156935624</v>
      </c>
      <c r="R140" s="1">
        <v>9.6</v>
      </c>
    </row>
    <row r="141" spans="1:18" x14ac:dyDescent="0.25">
      <c r="A141">
        <v>140</v>
      </c>
      <c r="B141" s="2">
        <v>184.9</v>
      </c>
      <c r="C141" s="2">
        <v>43.9</v>
      </c>
      <c r="D141" s="2">
        <v>1.7</v>
      </c>
      <c r="E141" s="1">
        <v>20.7</v>
      </c>
      <c r="F141">
        <f>$L$1+advertising!$M$1*advertising!B141+advertising!$N$1*advertising!C141</f>
        <v>19.677240056871597</v>
      </c>
      <c r="G141">
        <f t="shared" si="10"/>
        <v>1.0460379012680134</v>
      </c>
      <c r="H141">
        <f t="shared" si="11"/>
        <v>44.589006249999954</v>
      </c>
      <c r="I141">
        <f t="shared" si="12"/>
        <v>31.976085110788159</v>
      </c>
      <c r="O141">
        <f t="shared" si="13"/>
        <v>5.4083288263926449E-3</v>
      </c>
      <c r="P141" s="1">
        <v>20.7</v>
      </c>
      <c r="Q141">
        <f t="shared" si="14"/>
        <v>5.2198151383930789</v>
      </c>
      <c r="R141" s="1">
        <v>20.7</v>
      </c>
    </row>
    <row r="142" spans="1:18" x14ac:dyDescent="0.25">
      <c r="A142">
        <v>141</v>
      </c>
      <c r="B142" s="2">
        <v>73.400000000000006</v>
      </c>
      <c r="C142" s="2">
        <v>17</v>
      </c>
      <c r="D142" s="2">
        <v>12.9</v>
      </c>
      <c r="E142" s="1">
        <v>10.9</v>
      </c>
      <c r="F142">
        <f>$L$1+advertising!$M$1*advertising!B142+advertising!$N$1*advertising!C142</f>
        <v>9.5030246334950714</v>
      </c>
      <c r="G142">
        <f t="shared" si="10"/>
        <v>1.9515401746215806</v>
      </c>
      <c r="H142">
        <f t="shared" si="11"/>
        <v>9.7500062500000144</v>
      </c>
      <c r="I142">
        <f t="shared" si="12"/>
        <v>20.425657588444881</v>
      </c>
      <c r="O142">
        <f t="shared" si="13"/>
        <v>1.3623978201634876E-2</v>
      </c>
      <c r="P142" s="1">
        <v>10.9</v>
      </c>
      <c r="Q142">
        <f t="shared" si="14"/>
        <v>4.2959239356204701</v>
      </c>
      <c r="R142" s="1">
        <v>10.9</v>
      </c>
    </row>
    <row r="143" spans="1:18" x14ac:dyDescent="0.25">
      <c r="A143">
        <v>142</v>
      </c>
      <c r="B143" s="2">
        <v>193.7</v>
      </c>
      <c r="C143" s="2">
        <v>35.4</v>
      </c>
      <c r="D143" s="2">
        <v>75.599999999999994</v>
      </c>
      <c r="E143" s="1">
        <v>19.2</v>
      </c>
      <c r="F143">
        <f>$L$1+advertising!$M$1*advertising!B143+advertising!$N$1*advertising!C143</f>
        <v>18.477463793074357</v>
      </c>
      <c r="G143">
        <f t="shared" si="10"/>
        <v>0.52205857031849512</v>
      </c>
      <c r="H143">
        <f t="shared" si="11"/>
        <v>26.806506249999966</v>
      </c>
      <c r="I143">
        <f t="shared" si="12"/>
        <v>19.846702397603437</v>
      </c>
      <c r="O143">
        <f t="shared" si="13"/>
        <v>5.1626226122870418E-3</v>
      </c>
      <c r="P143" s="1">
        <v>19.2</v>
      </c>
      <c r="Q143">
        <f t="shared" si="14"/>
        <v>5.2663105704129505</v>
      </c>
      <c r="R143" s="1">
        <v>19.2</v>
      </c>
    </row>
    <row r="144" spans="1:18" x14ac:dyDescent="0.25">
      <c r="A144">
        <v>143</v>
      </c>
      <c r="B144" s="2">
        <v>220.5</v>
      </c>
      <c r="C144" s="2">
        <v>33.200000000000003</v>
      </c>
      <c r="D144" s="2">
        <v>37.9</v>
      </c>
      <c r="E144" s="1">
        <v>20.100000000000001</v>
      </c>
      <c r="F144">
        <f>$L$1+advertising!$M$1*advertising!B144+advertising!$N$1*advertising!C144</f>
        <v>19.289190254058965</v>
      </c>
      <c r="G144">
        <f t="shared" si="10"/>
        <v>0.65741244411296729</v>
      </c>
      <c r="H144">
        <f t="shared" si="11"/>
        <v>36.936006249999984</v>
      </c>
      <c r="I144">
        <f t="shared" si="12"/>
        <v>27.738026232199662</v>
      </c>
      <c r="O144">
        <f t="shared" si="13"/>
        <v>4.5351473922902496E-3</v>
      </c>
      <c r="P144" s="1">
        <v>20.100000000000001</v>
      </c>
      <c r="Q144">
        <f t="shared" si="14"/>
        <v>5.3958976948869006</v>
      </c>
      <c r="R144" s="1">
        <v>20.100000000000001</v>
      </c>
    </row>
    <row r="145" spans="1:18" x14ac:dyDescent="0.25">
      <c r="A145">
        <v>144</v>
      </c>
      <c r="B145" s="2">
        <v>104.6</v>
      </c>
      <c r="C145" s="2">
        <v>5.7</v>
      </c>
      <c r="D145" s="2">
        <v>34.4</v>
      </c>
      <c r="E145" s="1">
        <v>10.4</v>
      </c>
      <c r="F145">
        <f>$L$1+advertising!$M$1*advertising!B145+advertising!$N$1*advertising!C145</f>
        <v>8.8004923805277677</v>
      </c>
      <c r="G145">
        <f t="shared" si="10"/>
        <v>2.5584246247497284</v>
      </c>
      <c r="H145">
        <f t="shared" si="11"/>
        <v>13.122506250000017</v>
      </c>
      <c r="I145">
        <f t="shared" si="12"/>
        <v>27.269363577826077</v>
      </c>
      <c r="O145">
        <f t="shared" si="13"/>
        <v>9.5602294455066923E-3</v>
      </c>
      <c r="P145" s="1">
        <v>10.4</v>
      </c>
      <c r="Q145">
        <f t="shared" si="14"/>
        <v>4.6501435516308227</v>
      </c>
      <c r="R145" s="1">
        <v>10.4</v>
      </c>
    </row>
    <row r="146" spans="1:18" x14ac:dyDescent="0.25">
      <c r="A146">
        <v>145</v>
      </c>
      <c r="B146" s="2">
        <v>96.2</v>
      </c>
      <c r="C146" s="2">
        <v>14.8</v>
      </c>
      <c r="D146" s="2">
        <v>38.9</v>
      </c>
      <c r="E146" s="1">
        <v>11.4</v>
      </c>
      <c r="F146">
        <f>$L$1+advertising!$M$1*advertising!B146+advertising!$N$1*advertising!C146</f>
        <v>10.131692512658086</v>
      </c>
      <c r="G146">
        <f t="shared" si="10"/>
        <v>1.6086038824475606</v>
      </c>
      <c r="H146">
        <f t="shared" si="11"/>
        <v>6.8775062500000121</v>
      </c>
      <c r="I146">
        <f t="shared" si="12"/>
        <v>15.13838290355592</v>
      </c>
      <c r="O146">
        <f t="shared" si="13"/>
        <v>1.0395010395010394E-2</v>
      </c>
      <c r="P146" s="1">
        <v>11.4</v>
      </c>
      <c r="Q146">
        <f t="shared" si="14"/>
        <v>4.5664293576716606</v>
      </c>
      <c r="R146" s="1">
        <v>11.4</v>
      </c>
    </row>
    <row r="147" spans="1:18" x14ac:dyDescent="0.25">
      <c r="A147">
        <v>146</v>
      </c>
      <c r="B147" s="2">
        <v>140.30000000000001</v>
      </c>
      <c r="C147" s="2">
        <v>1.9</v>
      </c>
      <c r="D147" s="2">
        <v>9</v>
      </c>
      <c r="E147" s="1">
        <v>10.3</v>
      </c>
      <c r="F147">
        <f>$L$1+advertising!$M$1*advertising!B147+advertising!$N$1*advertising!C147</f>
        <v>9.7178761589962832</v>
      </c>
      <c r="G147">
        <f t="shared" si="10"/>
        <v>0.33886816626492139</v>
      </c>
      <c r="H147">
        <f t="shared" si="11"/>
        <v>13.857006250000014</v>
      </c>
      <c r="I147">
        <f t="shared" si="12"/>
        <v>18.529786412537614</v>
      </c>
      <c r="O147">
        <f t="shared" si="13"/>
        <v>7.1275837491090515E-3</v>
      </c>
      <c r="P147" s="1">
        <v>10.3</v>
      </c>
      <c r="Q147">
        <f t="shared" si="14"/>
        <v>4.9437829871084151</v>
      </c>
      <c r="R147" s="1">
        <v>10.3</v>
      </c>
    </row>
    <row r="148" spans="1:18" x14ac:dyDescent="0.25">
      <c r="A148">
        <v>147</v>
      </c>
      <c r="B148" s="2">
        <v>240.1</v>
      </c>
      <c r="C148" s="2">
        <v>7.3</v>
      </c>
      <c r="D148" s="2">
        <v>8.6999999999999993</v>
      </c>
      <c r="E148" s="1">
        <v>13.2</v>
      </c>
      <c r="F148">
        <f>$L$1+advertising!$M$1*advertising!B148+advertising!$N$1*advertising!C148</f>
        <v>15.303249866803263</v>
      </c>
      <c r="G148">
        <f t="shared" si="10"/>
        <v>4.4236600022079466</v>
      </c>
      <c r="H148">
        <f t="shared" si="11"/>
        <v>0.67650625000000553</v>
      </c>
      <c r="I148">
        <f t="shared" si="12"/>
        <v>1.6403202213165693</v>
      </c>
      <c r="O148">
        <f t="shared" si="13"/>
        <v>4.1649312786339026E-3</v>
      </c>
      <c r="P148" s="1">
        <v>13.2</v>
      </c>
      <c r="Q148">
        <f t="shared" si="14"/>
        <v>5.4810555032272079</v>
      </c>
      <c r="R148" s="1">
        <v>13.2</v>
      </c>
    </row>
    <row r="149" spans="1:18" x14ac:dyDescent="0.25">
      <c r="A149">
        <v>148</v>
      </c>
      <c r="B149" s="2">
        <v>243.2</v>
      </c>
      <c r="C149" s="2">
        <v>49</v>
      </c>
      <c r="D149" s="2">
        <v>44.3</v>
      </c>
      <c r="E149" s="1">
        <v>25.4</v>
      </c>
      <c r="F149">
        <f>$L$1+advertising!$M$1*advertising!B149+advertising!$N$1*advertising!C149</f>
        <v>23.306821973204116</v>
      </c>
      <c r="G149">
        <f t="shared" si="10"/>
        <v>4.3813942518611055</v>
      </c>
      <c r="H149">
        <f t="shared" si="11"/>
        <v>129.44750624999992</v>
      </c>
      <c r="I149">
        <f t="shared" si="12"/>
        <v>86.198634502120711</v>
      </c>
      <c r="O149">
        <f t="shared" si="13"/>
        <v>4.1118421052631577E-3</v>
      </c>
      <c r="P149" s="1">
        <v>25.4</v>
      </c>
      <c r="Q149">
        <f t="shared" si="14"/>
        <v>5.4938841500920121</v>
      </c>
      <c r="R149" s="1">
        <v>25.4</v>
      </c>
    </row>
    <row r="150" spans="1:18" x14ac:dyDescent="0.25">
      <c r="A150">
        <v>149</v>
      </c>
      <c r="B150" s="2">
        <v>38</v>
      </c>
      <c r="C150" s="2">
        <v>40.299999999999997</v>
      </c>
      <c r="D150" s="2">
        <v>11.9</v>
      </c>
      <c r="E150" s="1">
        <v>10.9</v>
      </c>
      <c r="F150">
        <f>$L$1+advertising!$M$1*advertising!B150+advertising!$N$1*advertising!C150</f>
        <v>12.275705578568157</v>
      </c>
      <c r="G150">
        <f t="shared" si="10"/>
        <v>1.8925658389035473</v>
      </c>
      <c r="H150">
        <f t="shared" si="11"/>
        <v>9.7500062500000144</v>
      </c>
      <c r="I150">
        <f t="shared" si="12"/>
        <v>3.0512907507454154</v>
      </c>
      <c r="O150">
        <f t="shared" si="13"/>
        <v>2.6315789473684209E-2</v>
      </c>
      <c r="P150" s="1">
        <v>10.9</v>
      </c>
      <c r="Q150">
        <f t="shared" si="14"/>
        <v>3.6375861597263857</v>
      </c>
      <c r="R150" s="1">
        <v>10.9</v>
      </c>
    </row>
    <row r="151" spans="1:18" x14ac:dyDescent="0.25">
      <c r="A151">
        <v>150</v>
      </c>
      <c r="B151" s="2">
        <v>44.7</v>
      </c>
      <c r="C151" s="2">
        <v>25.8</v>
      </c>
      <c r="D151" s="2">
        <v>20.6</v>
      </c>
      <c r="E151" s="1">
        <v>10.1</v>
      </c>
      <c r="F151">
        <f>$L$1+advertising!$M$1*advertising!B151+advertising!$N$1*advertising!C151</f>
        <v>9.848643457805359</v>
      </c>
      <c r="G151">
        <f t="shared" si="10"/>
        <v>6.318011130404616E-2</v>
      </c>
      <c r="H151">
        <f t="shared" si="11"/>
        <v>15.386006250000023</v>
      </c>
      <c r="I151">
        <f t="shared" si="12"/>
        <v>17.421078434821027</v>
      </c>
      <c r="O151">
        <f t="shared" si="13"/>
        <v>2.2371364653243846E-2</v>
      </c>
      <c r="P151" s="1">
        <v>10.1</v>
      </c>
      <c r="Q151">
        <f t="shared" si="14"/>
        <v>3.7999735016195233</v>
      </c>
      <c r="R151" s="1">
        <v>10.1</v>
      </c>
    </row>
    <row r="152" spans="1:18" x14ac:dyDescent="0.25">
      <c r="A152">
        <v>151</v>
      </c>
      <c r="B152" s="2">
        <v>280.7</v>
      </c>
      <c r="C152" s="2">
        <v>13.9</v>
      </c>
      <c r="D152" s="2">
        <v>37</v>
      </c>
      <c r="E152" s="1">
        <v>16.100000000000001</v>
      </c>
      <c r="F152">
        <f>$L$1+advertising!$M$1*advertising!B152+advertising!$N$1*advertising!C152</f>
        <v>18.405592583952551</v>
      </c>
      <c r="G152">
        <f t="shared" si="10"/>
        <v>5.3157571631769933</v>
      </c>
      <c r="H152">
        <f t="shared" si="11"/>
        <v>4.3160062499999947</v>
      </c>
      <c r="I152">
        <f t="shared" si="12"/>
        <v>19.211500599499825</v>
      </c>
      <c r="O152">
        <f t="shared" si="13"/>
        <v>3.5625222657641614E-3</v>
      </c>
      <c r="P152" s="1">
        <v>16.100000000000001</v>
      </c>
      <c r="Q152">
        <f t="shared" si="14"/>
        <v>5.6372864833678369</v>
      </c>
      <c r="R152" s="1">
        <v>16.100000000000001</v>
      </c>
    </row>
    <row r="153" spans="1:18" x14ac:dyDescent="0.25">
      <c r="A153">
        <v>152</v>
      </c>
      <c r="B153" s="2">
        <v>121</v>
      </c>
      <c r="C153" s="2">
        <v>8.4</v>
      </c>
      <c r="D153" s="2">
        <v>48.7</v>
      </c>
      <c r="E153" s="1">
        <v>11.6</v>
      </c>
      <c r="F153">
        <f>$L$1+advertising!$M$1*advertising!B153+advertising!$N$1*advertising!C153</f>
        <v>10.060063611675437</v>
      </c>
      <c r="G153">
        <f t="shared" si="10"/>
        <v>2.3714040800860983</v>
      </c>
      <c r="H153">
        <f t="shared" si="11"/>
        <v>5.8685062500000145</v>
      </c>
      <c r="I153">
        <f t="shared" si="12"/>
        <v>15.700902131518628</v>
      </c>
      <c r="O153">
        <f t="shared" si="13"/>
        <v>8.2644628099173556E-3</v>
      </c>
      <c r="P153" s="1">
        <v>11.6</v>
      </c>
      <c r="Q153">
        <f t="shared" si="14"/>
        <v>4.7957905455967413</v>
      </c>
      <c r="R153" s="1">
        <v>11.6</v>
      </c>
    </row>
    <row r="154" spans="1:18" x14ac:dyDescent="0.25">
      <c r="A154">
        <v>153</v>
      </c>
      <c r="B154" s="2">
        <v>197.6</v>
      </c>
      <c r="C154" s="2">
        <v>23.3</v>
      </c>
      <c r="D154" s="2">
        <v>14.2</v>
      </c>
      <c r="E154" s="1">
        <v>16.600000000000001</v>
      </c>
      <c r="F154">
        <f>$L$1+advertising!$M$1*advertising!B154+advertising!$N$1*advertising!C154</f>
        <v>16.374732705640135</v>
      </c>
      <c r="G154">
        <f t="shared" si="10"/>
        <v>5.0745353908214878E-2</v>
      </c>
      <c r="H154">
        <f t="shared" si="11"/>
        <v>6.6435062499999935</v>
      </c>
      <c r="I154">
        <f t="shared" si="12"/>
        <v>5.5329987014830957</v>
      </c>
      <c r="O154">
        <f t="shared" si="13"/>
        <v>5.0607287449392713E-3</v>
      </c>
      <c r="P154" s="1">
        <v>16.600000000000001</v>
      </c>
      <c r="Q154">
        <f t="shared" si="14"/>
        <v>5.2862447853137677</v>
      </c>
      <c r="R154" s="1">
        <v>16.600000000000001</v>
      </c>
    </row>
    <row r="155" spans="1:18" x14ac:dyDescent="0.25">
      <c r="A155">
        <v>154</v>
      </c>
      <c r="B155" s="2">
        <v>171.3</v>
      </c>
      <c r="C155" s="2">
        <v>39.700000000000003</v>
      </c>
      <c r="D155" s="2">
        <v>37.700000000000003</v>
      </c>
      <c r="E155" s="1">
        <v>19</v>
      </c>
      <c r="F155">
        <f>$L$1+advertising!$M$1*advertising!B155+advertising!$N$1*advertising!C155</f>
        <v>18.26301480762173</v>
      </c>
      <c r="G155">
        <f t="shared" si="10"/>
        <v>0.54314717378483623</v>
      </c>
      <c r="H155">
        <f t="shared" si="11"/>
        <v>24.775506249999975</v>
      </c>
      <c r="I155">
        <f t="shared" si="12"/>
        <v>17.981965833659132</v>
      </c>
      <c r="O155">
        <f t="shared" si="13"/>
        <v>5.837711617046118E-3</v>
      </c>
      <c r="P155" s="1">
        <v>19</v>
      </c>
      <c r="Q155">
        <f t="shared" si="14"/>
        <v>5.1434164053300746</v>
      </c>
      <c r="R155" s="1">
        <v>19</v>
      </c>
    </row>
    <row r="156" spans="1:18" x14ac:dyDescent="0.25">
      <c r="A156">
        <v>155</v>
      </c>
      <c r="B156" s="2">
        <v>187.8</v>
      </c>
      <c r="C156" s="2">
        <v>21.1</v>
      </c>
      <c r="D156" s="2">
        <v>9.5</v>
      </c>
      <c r="E156" s="1">
        <v>15.6</v>
      </c>
      <c r="F156">
        <f>$L$1+advertising!$M$1*advertising!B156+advertising!$N$1*advertising!C156</f>
        <v>15.51147314295719</v>
      </c>
      <c r="G156">
        <f t="shared" si="10"/>
        <v>7.837004417878107E-3</v>
      </c>
      <c r="H156">
        <f t="shared" si="11"/>
        <v>2.4885062499999906</v>
      </c>
      <c r="I156">
        <f t="shared" si="12"/>
        <v>2.2170410204478039</v>
      </c>
      <c r="O156">
        <f t="shared" si="13"/>
        <v>5.3248136315228968E-3</v>
      </c>
      <c r="P156" s="1">
        <v>15.6</v>
      </c>
      <c r="Q156">
        <f t="shared" si="14"/>
        <v>5.2353775667741624</v>
      </c>
      <c r="R156" s="1">
        <v>15.6</v>
      </c>
    </row>
    <row r="157" spans="1:18" x14ac:dyDescent="0.25">
      <c r="A157">
        <v>156</v>
      </c>
      <c r="B157" s="2">
        <v>4.0999999999999996</v>
      </c>
      <c r="C157" s="2">
        <v>11.6</v>
      </c>
      <c r="D157" s="2">
        <v>5.7</v>
      </c>
      <c r="E157" s="1">
        <v>3.2</v>
      </c>
      <c r="F157">
        <f>$L$1+advertising!$M$1*advertising!B157+advertising!$N$1*advertising!C157</f>
        <v>5.3134726120777174</v>
      </c>
      <c r="G157">
        <f t="shared" si="10"/>
        <v>4.4667664820026092</v>
      </c>
      <c r="H157">
        <f t="shared" si="11"/>
        <v>117.12650625000003</v>
      </c>
      <c r="I157">
        <f t="shared" si="12"/>
        <v>75.847158043580464</v>
      </c>
      <c r="O157">
        <f t="shared" si="13"/>
        <v>0.24390243902439027</v>
      </c>
      <c r="P157" s="1">
        <v>3.2</v>
      </c>
      <c r="Q157">
        <f t="shared" si="14"/>
        <v>1.410986973710262</v>
      </c>
      <c r="R157" s="1">
        <v>3.2</v>
      </c>
    </row>
    <row r="158" spans="1:18" x14ac:dyDescent="0.25">
      <c r="A158">
        <v>157</v>
      </c>
      <c r="B158" s="2">
        <v>93.9</v>
      </c>
      <c r="C158" s="2">
        <v>43.5</v>
      </c>
      <c r="D158" s="2">
        <v>50.5</v>
      </c>
      <c r="E158" s="1">
        <v>15.3</v>
      </c>
      <c r="F158">
        <f>$L$1+advertising!$M$1*advertising!B158+advertising!$N$1*advertising!C158</f>
        <v>15.437245313663135</v>
      </c>
      <c r="G158">
        <f t="shared" si="10"/>
        <v>1.883627612249221E-2</v>
      </c>
      <c r="H158">
        <f t="shared" si="11"/>
        <v>1.632006249999995</v>
      </c>
      <c r="I158">
        <f t="shared" si="12"/>
        <v>2.0015043025317958</v>
      </c>
      <c r="O158">
        <f t="shared" si="13"/>
        <v>1.0649627263045794E-2</v>
      </c>
      <c r="P158" s="1">
        <v>15.3</v>
      </c>
      <c r="Q158">
        <f t="shared" si="14"/>
        <v>4.542230386214217</v>
      </c>
      <c r="R158" s="1">
        <v>15.3</v>
      </c>
    </row>
    <row r="159" spans="1:18" x14ac:dyDescent="0.25">
      <c r="A159">
        <v>158</v>
      </c>
      <c r="B159" s="2">
        <v>149.80000000000001</v>
      </c>
      <c r="C159" s="2">
        <v>1.3</v>
      </c>
      <c r="D159" s="2">
        <v>24.3</v>
      </c>
      <c r="E159" s="1">
        <v>10.1</v>
      </c>
      <c r="F159">
        <f>$L$1+advertising!$M$1*advertising!B159+advertising!$N$1*advertising!C159</f>
        <v>10.039522280671639</v>
      </c>
      <c r="G159">
        <f t="shared" si="10"/>
        <v>3.6575545351600087E-3</v>
      </c>
      <c r="H159">
        <f t="shared" si="11"/>
        <v>15.386006250000023</v>
      </c>
      <c r="I159">
        <f t="shared" si="12"/>
        <v>15.864111512666176</v>
      </c>
      <c r="O159">
        <f t="shared" si="13"/>
        <v>6.675567423230974E-3</v>
      </c>
      <c r="P159" s="1">
        <v>10.1</v>
      </c>
      <c r="Q159">
        <f t="shared" si="14"/>
        <v>5.0093010710831196</v>
      </c>
      <c r="R159" s="1">
        <v>10.1</v>
      </c>
    </row>
    <row r="160" spans="1:18" x14ac:dyDescent="0.25">
      <c r="A160">
        <v>159</v>
      </c>
      <c r="B160" s="2">
        <v>11.7</v>
      </c>
      <c r="C160" s="2">
        <v>36.9</v>
      </c>
      <c r="D160" s="2">
        <v>45.2</v>
      </c>
      <c r="E160" s="1">
        <v>7.3</v>
      </c>
      <c r="F160">
        <f>$L$1+advertising!$M$1*advertising!B160+advertising!$N$1*advertising!C160</f>
        <v>10.431093345569307</v>
      </c>
      <c r="G160">
        <f t="shared" si="10"/>
        <v>9.803745538668398</v>
      </c>
      <c r="H160">
        <f t="shared" si="11"/>
        <v>45.192006250000041</v>
      </c>
      <c r="I160">
        <f t="shared" si="12"/>
        <v>12.898201757489081</v>
      </c>
      <c r="O160">
        <f t="shared" si="13"/>
        <v>8.5470085470085472E-2</v>
      </c>
      <c r="P160" s="1">
        <v>7.3</v>
      </c>
      <c r="Q160">
        <f t="shared" si="14"/>
        <v>2.4595888418037104</v>
      </c>
      <c r="R160" s="1">
        <v>7.3</v>
      </c>
    </row>
    <row r="161" spans="1:18" x14ac:dyDescent="0.25">
      <c r="A161">
        <v>160</v>
      </c>
      <c r="B161" s="2">
        <v>131.69999999999999</v>
      </c>
      <c r="C161" s="2">
        <v>18.399999999999999</v>
      </c>
      <c r="D161" s="2">
        <v>34.6</v>
      </c>
      <c r="E161" s="1">
        <v>12.9</v>
      </c>
      <c r="F161">
        <f>$L$1+advertising!$M$1*advertising!B161+advertising!$N$1*advertising!C161</f>
        <v>12.435045487230234</v>
      </c>
      <c r="G161">
        <f t="shared" si="10"/>
        <v>0.21618269894497119</v>
      </c>
      <c r="H161">
        <f t="shared" si="11"/>
        <v>1.2600062500000051</v>
      </c>
      <c r="I161">
        <f t="shared" si="12"/>
        <v>2.5200118301131047</v>
      </c>
      <c r="O161">
        <f t="shared" si="13"/>
        <v>7.5930144267274116E-3</v>
      </c>
      <c r="P161" s="1">
        <v>12.9</v>
      </c>
      <c r="Q161">
        <f t="shared" si="14"/>
        <v>4.8805266087492356</v>
      </c>
      <c r="R161" s="1">
        <v>12.9</v>
      </c>
    </row>
    <row r="162" spans="1:18" x14ac:dyDescent="0.25">
      <c r="A162">
        <v>161</v>
      </c>
      <c r="B162" s="2">
        <v>172.5</v>
      </c>
      <c r="C162" s="2">
        <v>18.100000000000001</v>
      </c>
      <c r="D162" s="2">
        <v>30.7</v>
      </c>
      <c r="E162" s="1">
        <v>14.4</v>
      </c>
      <c r="F162">
        <f>$L$1+advertising!$M$1*advertising!B162+advertising!$N$1*advertising!C162</f>
        <v>14.245684016734995</v>
      </c>
      <c r="G162">
        <f t="shared" si="10"/>
        <v>2.3813422691045562E-2</v>
      </c>
      <c r="H162">
        <f t="shared" si="11"/>
        <v>0.14250624999999828</v>
      </c>
      <c r="I162">
        <f t="shared" si="12"/>
        <v>4.9811105325965138E-2</v>
      </c>
      <c r="O162">
        <f t="shared" si="13"/>
        <v>5.7971014492753624E-3</v>
      </c>
      <c r="P162" s="1">
        <v>14.4</v>
      </c>
      <c r="Q162">
        <f t="shared" si="14"/>
        <v>5.1503972364714148</v>
      </c>
      <c r="R162" s="1">
        <v>14.4</v>
      </c>
    </row>
    <row r="163" spans="1:18" x14ac:dyDescent="0.25">
      <c r="A163">
        <v>162</v>
      </c>
      <c r="B163" s="2">
        <v>85.7</v>
      </c>
      <c r="C163" s="2">
        <v>35.799999999999997</v>
      </c>
      <c r="D163" s="2">
        <v>49.3</v>
      </c>
      <c r="E163" s="1">
        <v>13.3</v>
      </c>
      <c r="F163">
        <f>$L$1+advertising!$M$1*advertising!B163+advertising!$N$1*advertising!C163</f>
        <v>13.610294090658702</v>
      </c>
      <c r="G163">
        <f t="shared" si="10"/>
        <v>9.6282422697710049E-2</v>
      </c>
      <c r="H163">
        <f t="shared" si="11"/>
        <v>0.52200625000000278</v>
      </c>
      <c r="I163">
        <f t="shared" si="12"/>
        <v>0.16991371169588892</v>
      </c>
      <c r="O163">
        <f t="shared" si="13"/>
        <v>1.1668611435239206E-2</v>
      </c>
      <c r="P163" s="1">
        <v>13.3</v>
      </c>
      <c r="Q163">
        <f t="shared" si="14"/>
        <v>4.4508528256037341</v>
      </c>
      <c r="R163" s="1">
        <v>13.3</v>
      </c>
    </row>
    <row r="164" spans="1:18" x14ac:dyDescent="0.25">
      <c r="A164">
        <v>163</v>
      </c>
      <c r="B164" s="2">
        <v>188.4</v>
      </c>
      <c r="C164" s="2">
        <v>18.100000000000001</v>
      </c>
      <c r="D164" s="2">
        <v>25.6</v>
      </c>
      <c r="E164" s="1">
        <v>14.9</v>
      </c>
      <c r="F164">
        <f>$L$1+advertising!$M$1*advertising!B164+advertising!$N$1*advertising!C164</f>
        <v>14.973341879475818</v>
      </c>
      <c r="G164">
        <f t="shared" si="10"/>
        <v>5.3790312850453556E-3</v>
      </c>
      <c r="H164">
        <f t="shared" si="11"/>
        <v>0.77000624999999601</v>
      </c>
      <c r="I164">
        <f t="shared" si="12"/>
        <v>0.90410027976510088</v>
      </c>
      <c r="O164">
        <f t="shared" si="13"/>
        <v>5.3078556263269636E-3</v>
      </c>
      <c r="P164" s="1">
        <v>14.9</v>
      </c>
      <c r="Q164">
        <f t="shared" si="14"/>
        <v>5.2385673621422626</v>
      </c>
      <c r="R164" s="1">
        <v>14.9</v>
      </c>
    </row>
    <row r="165" spans="1:18" x14ac:dyDescent="0.25">
      <c r="A165">
        <v>164</v>
      </c>
      <c r="B165" s="2">
        <v>163.5</v>
      </c>
      <c r="C165" s="2">
        <v>36.799999999999997</v>
      </c>
      <c r="D165" s="2">
        <v>7.4</v>
      </c>
      <c r="E165" s="1">
        <v>18</v>
      </c>
      <c r="F165">
        <f>$L$1+advertising!$M$1*advertising!B165+advertising!$N$1*advertising!C165</f>
        <v>17.359313524006836</v>
      </c>
      <c r="G165">
        <f t="shared" si="10"/>
        <v>0.41047916052053862</v>
      </c>
      <c r="H165">
        <f t="shared" si="11"/>
        <v>15.82050624999998</v>
      </c>
      <c r="I165">
        <f t="shared" si="12"/>
        <v>11.134324493994905</v>
      </c>
      <c r="O165">
        <f t="shared" si="13"/>
        <v>6.1162079510703364E-3</v>
      </c>
      <c r="P165" s="1">
        <v>18</v>
      </c>
      <c r="Q165">
        <f t="shared" si="14"/>
        <v>5.0968129903373081</v>
      </c>
      <c r="R165" s="1">
        <v>18</v>
      </c>
    </row>
    <row r="166" spans="1:18" x14ac:dyDescent="0.25">
      <c r="A166">
        <v>165</v>
      </c>
      <c r="B166" s="2">
        <v>117.2</v>
      </c>
      <c r="C166" s="2">
        <v>14.7</v>
      </c>
      <c r="D166" s="2">
        <v>5.4</v>
      </c>
      <c r="E166" s="1">
        <v>11.9</v>
      </c>
      <c r="F166">
        <f>$L$1+advertising!$M$1*advertising!B166+advertising!$N$1*advertising!C166</f>
        <v>11.073897065529614</v>
      </c>
      <c r="G166">
        <f t="shared" si="10"/>
        <v>0.68244605834058303</v>
      </c>
      <c r="H166">
        <f t="shared" si="11"/>
        <v>4.5050062500000099</v>
      </c>
      <c r="I166">
        <f t="shared" si="12"/>
        <v>8.6942592651673856</v>
      </c>
      <c r="O166">
        <f t="shared" si="13"/>
        <v>8.5324232081911266E-3</v>
      </c>
      <c r="P166" s="1">
        <v>11.9</v>
      </c>
      <c r="Q166">
        <f t="shared" si="14"/>
        <v>4.7638818771429126</v>
      </c>
      <c r="R166" s="1">
        <v>11.9</v>
      </c>
    </row>
    <row r="167" spans="1:18" x14ac:dyDescent="0.25">
      <c r="A167">
        <v>166</v>
      </c>
      <c r="B167" s="2">
        <v>234.5</v>
      </c>
      <c r="C167" s="2">
        <v>3.4</v>
      </c>
      <c r="D167" s="2">
        <v>84.8</v>
      </c>
      <c r="E167" s="1">
        <v>11.9</v>
      </c>
      <c r="F167">
        <f>$L$1+advertising!$M$1*advertising!B167+advertising!$N$1*advertising!C167</f>
        <v>14.31170078627204</v>
      </c>
      <c r="G167">
        <f t="shared" si="10"/>
        <v>5.8163006825051724</v>
      </c>
      <c r="H167">
        <f t="shared" si="11"/>
        <v>4.5050062500000099</v>
      </c>
      <c r="I167">
        <f t="shared" si="12"/>
        <v>8.3637094780364393E-2</v>
      </c>
      <c r="O167">
        <f t="shared" si="13"/>
        <v>4.2643923240938165E-3</v>
      </c>
      <c r="P167" s="1">
        <v>11.9</v>
      </c>
      <c r="Q167">
        <f t="shared" si="14"/>
        <v>5.4574555878863338</v>
      </c>
      <c r="R167" s="1">
        <v>11.9</v>
      </c>
    </row>
    <row r="168" spans="1:18" x14ac:dyDescent="0.25">
      <c r="A168">
        <v>167</v>
      </c>
      <c r="B168" s="2">
        <v>17.899999999999999</v>
      </c>
      <c r="C168" s="2">
        <v>37.6</v>
      </c>
      <c r="D168" s="2">
        <v>21.6</v>
      </c>
      <c r="E168" s="1">
        <v>8</v>
      </c>
      <c r="F168">
        <f>$L$1+advertising!$M$1*advertising!B168+advertising!$N$1*advertising!C168</f>
        <v>10.846805159235515</v>
      </c>
      <c r="G168">
        <f t="shared" si="10"/>
        <v>8.104299614649948</v>
      </c>
      <c r="H168">
        <f t="shared" si="11"/>
        <v>36.270506250000032</v>
      </c>
      <c r="I168">
        <f t="shared" si="12"/>
        <v>10.085037721658184</v>
      </c>
      <c r="O168">
        <f t="shared" si="13"/>
        <v>5.5865921787709501E-2</v>
      </c>
      <c r="P168" s="1">
        <v>8</v>
      </c>
      <c r="Q168">
        <f t="shared" si="14"/>
        <v>2.884800712846709</v>
      </c>
      <c r="R168" s="1">
        <v>8</v>
      </c>
    </row>
    <row r="169" spans="1:18" x14ac:dyDescent="0.25">
      <c r="A169">
        <v>168</v>
      </c>
      <c r="B169" s="2">
        <v>206.8</v>
      </c>
      <c r="C169" s="2">
        <v>5.2</v>
      </c>
      <c r="D169" s="2">
        <v>19.399999999999999</v>
      </c>
      <c r="E169" s="1">
        <v>12.2</v>
      </c>
      <c r="F169">
        <f>$L$1+advertising!$M$1*advertising!B169+advertising!$N$1*advertising!C169</f>
        <v>13.383374137610296</v>
      </c>
      <c r="G169">
        <f t="shared" si="10"/>
        <v>1.4003743495649144</v>
      </c>
      <c r="H169">
        <f t="shared" si="11"/>
        <v>3.3215062500000121</v>
      </c>
      <c r="I169">
        <f t="shared" si="12"/>
        <v>0.40848186797538572</v>
      </c>
      <c r="O169">
        <f t="shared" si="13"/>
        <v>4.8355899419729202E-3</v>
      </c>
      <c r="P169" s="1">
        <v>12.2</v>
      </c>
      <c r="Q169">
        <f t="shared" si="14"/>
        <v>5.331752142634274</v>
      </c>
      <c r="R169" s="1">
        <v>12.2</v>
      </c>
    </row>
    <row r="170" spans="1:18" x14ac:dyDescent="0.25">
      <c r="A170">
        <v>169</v>
      </c>
      <c r="B170" s="2">
        <v>215.4</v>
      </c>
      <c r="C170" s="2">
        <v>23.6</v>
      </c>
      <c r="D170" s="2">
        <v>57.6</v>
      </c>
      <c r="E170" s="1">
        <v>17.100000000000001</v>
      </c>
      <c r="F170">
        <f>$L$1+advertising!$M$1*advertising!B170+advertising!$N$1*advertising!C170</f>
        <v>17.245902399821674</v>
      </c>
      <c r="G170">
        <f t="shared" si="10"/>
        <v>2.1287510273723088E-2</v>
      </c>
      <c r="H170">
        <f t="shared" si="11"/>
        <v>9.4710062499999932</v>
      </c>
      <c r="I170">
        <f t="shared" si="12"/>
        <v>10.390323031176107</v>
      </c>
      <c r="O170">
        <f t="shared" si="13"/>
        <v>4.642525533890436E-3</v>
      </c>
      <c r="P170" s="1">
        <v>17.100000000000001</v>
      </c>
      <c r="Q170">
        <f t="shared" si="14"/>
        <v>5.3724967647222881</v>
      </c>
      <c r="R170" s="1">
        <v>17.100000000000001</v>
      </c>
    </row>
    <row r="171" spans="1:18" x14ac:dyDescent="0.25">
      <c r="A171">
        <v>170</v>
      </c>
      <c r="B171" s="2">
        <v>284.3</v>
      </c>
      <c r="C171" s="2">
        <v>10.6</v>
      </c>
      <c r="D171" s="2">
        <v>6.4</v>
      </c>
      <c r="E171" s="1">
        <v>15</v>
      </c>
      <c r="F171">
        <f>$L$1+advertising!$M$1*advertising!B171+advertising!$N$1*advertising!C171</f>
        <v>17.94819625176191</v>
      </c>
      <c r="G171">
        <f t="shared" si="10"/>
        <v>8.6918611389029774</v>
      </c>
      <c r="H171">
        <f t="shared" si="11"/>
        <v>0.95550624999999489</v>
      </c>
      <c r="I171">
        <f t="shared" si="12"/>
        <v>15.41109106109749</v>
      </c>
      <c r="O171">
        <f t="shared" si="13"/>
        <v>3.5174111853675692E-3</v>
      </c>
      <c r="P171" s="1">
        <v>15</v>
      </c>
      <c r="Q171">
        <f t="shared" si="14"/>
        <v>5.6500300186569543</v>
      </c>
      <c r="R171" s="1">
        <v>15</v>
      </c>
    </row>
    <row r="172" spans="1:18" x14ac:dyDescent="0.25">
      <c r="A172">
        <v>171</v>
      </c>
      <c r="B172" s="2">
        <v>50</v>
      </c>
      <c r="C172" s="2">
        <v>11.6</v>
      </c>
      <c r="D172" s="2">
        <v>18.399999999999999</v>
      </c>
      <c r="E172" s="1">
        <v>8.4</v>
      </c>
      <c r="F172">
        <f>$L$1+advertising!$M$1*advertising!B172+advertising!$N$1*advertising!C172</f>
        <v>7.414069838480466</v>
      </c>
      <c r="G172">
        <f t="shared" si="10"/>
        <v>0.97205828339393519</v>
      </c>
      <c r="H172">
        <f t="shared" si="11"/>
        <v>31.612506250000024</v>
      </c>
      <c r="I172">
        <f t="shared" si="12"/>
        <v>43.671349199681131</v>
      </c>
      <c r="O172">
        <f t="shared" si="13"/>
        <v>0.02</v>
      </c>
      <c r="P172" s="1">
        <v>8.4</v>
      </c>
      <c r="Q172">
        <f t="shared" si="14"/>
        <v>3.912023005428146</v>
      </c>
      <c r="R172" s="1">
        <v>8.4</v>
      </c>
    </row>
    <row r="173" spans="1:18" x14ac:dyDescent="0.25">
      <c r="A173">
        <v>172</v>
      </c>
      <c r="B173" s="2">
        <v>164.5</v>
      </c>
      <c r="C173" s="2">
        <v>20.9</v>
      </c>
      <c r="D173" s="2">
        <v>47.4</v>
      </c>
      <c r="E173" s="1">
        <v>14.5</v>
      </c>
      <c r="F173">
        <f>$L$1+advertising!$M$1*advertising!B173+advertising!$N$1*advertising!C173</f>
        <v>14.407450900462788</v>
      </c>
      <c r="G173">
        <f t="shared" si="10"/>
        <v>8.5653358251488194E-3</v>
      </c>
      <c r="H173">
        <f t="shared" si="11"/>
        <v>0.2280062499999975</v>
      </c>
      <c r="I173">
        <f t="shared" si="12"/>
        <v>0.14818719576710909</v>
      </c>
      <c r="O173">
        <f t="shared" si="13"/>
        <v>6.0790273556231003E-3</v>
      </c>
      <c r="P173" s="1">
        <v>14.5</v>
      </c>
      <c r="Q173">
        <f t="shared" si="14"/>
        <v>5.1029105702054265</v>
      </c>
      <c r="R173" s="1">
        <v>14.5</v>
      </c>
    </row>
    <row r="174" spans="1:18" x14ac:dyDescent="0.25">
      <c r="A174">
        <v>173</v>
      </c>
      <c r="B174" s="2">
        <v>19.600000000000001</v>
      </c>
      <c r="C174" s="2">
        <v>20.100000000000001</v>
      </c>
      <c r="D174" s="2">
        <v>17</v>
      </c>
      <c r="E174" s="1">
        <v>7.6</v>
      </c>
      <c r="F174">
        <f>$L$1+advertising!$M$1*advertising!B174+advertising!$N$1*advertising!C174</f>
        <v>7.625329760441117</v>
      </c>
      <c r="G174">
        <f t="shared" si="10"/>
        <v>6.4159676400439309E-4</v>
      </c>
      <c r="H174">
        <f t="shared" si="11"/>
        <v>41.248506250000041</v>
      </c>
      <c r="I174">
        <f t="shared" si="12"/>
        <v>40.923787073897891</v>
      </c>
      <c r="O174">
        <f t="shared" si="13"/>
        <v>5.10204081632653E-2</v>
      </c>
      <c r="P174" s="1">
        <v>7.6</v>
      </c>
      <c r="Q174">
        <f t="shared" si="14"/>
        <v>2.9755295662364718</v>
      </c>
      <c r="R174" s="1">
        <v>7.6</v>
      </c>
    </row>
    <row r="175" spans="1:18" x14ac:dyDescent="0.25">
      <c r="A175">
        <v>174</v>
      </c>
      <c r="B175" s="2">
        <v>168.4</v>
      </c>
      <c r="C175" s="2">
        <v>7.1</v>
      </c>
      <c r="D175" s="2">
        <v>12.8</v>
      </c>
      <c r="E175" s="1">
        <v>11.7</v>
      </c>
      <c r="F175">
        <f>$L$1+advertising!$M$1*advertising!B175+advertising!$N$1*advertising!C175</f>
        <v>11.984218784267618</v>
      </c>
      <c r="G175">
        <f t="shared" si="10"/>
        <v>8.0780317330563303E-2</v>
      </c>
      <c r="H175">
        <f t="shared" si="11"/>
        <v>5.3940062500000154</v>
      </c>
      <c r="I175">
        <f t="shared" si="12"/>
        <v>4.1545903144074874</v>
      </c>
      <c r="O175">
        <f t="shared" si="13"/>
        <v>5.9382422802850355E-3</v>
      </c>
      <c r="P175" s="1">
        <v>11.7</v>
      </c>
      <c r="Q175">
        <f t="shared" si="14"/>
        <v>5.126342101808226</v>
      </c>
      <c r="R175" s="1">
        <v>11.7</v>
      </c>
    </row>
    <row r="176" spans="1:18" x14ac:dyDescent="0.25">
      <c r="A176">
        <v>175</v>
      </c>
      <c r="B176" s="2">
        <v>222.4</v>
      </c>
      <c r="C176" s="2">
        <v>3.4</v>
      </c>
      <c r="D176" s="2">
        <v>13.1</v>
      </c>
      <c r="E176" s="1">
        <v>11.5</v>
      </c>
      <c r="F176">
        <f>$L$1+advertising!$M$1*advertising!B176+advertising!$N$1*advertising!C176</f>
        <v>13.757948576261731</v>
      </c>
      <c r="G176">
        <f t="shared" si="10"/>
        <v>5.0983317730423767</v>
      </c>
      <c r="H176">
        <f t="shared" si="11"/>
        <v>6.3630062500000131</v>
      </c>
      <c r="I176">
        <f t="shared" si="12"/>
        <v>6.9987455801946749E-2</v>
      </c>
      <c r="O176">
        <f t="shared" si="13"/>
        <v>4.4964028776978415E-3</v>
      </c>
      <c r="P176" s="1">
        <v>11.5</v>
      </c>
      <c r="Q176">
        <f t="shared" si="14"/>
        <v>5.4044775623764272</v>
      </c>
      <c r="R176" s="1">
        <v>11.5</v>
      </c>
    </row>
    <row r="177" spans="1:18" x14ac:dyDescent="0.25">
      <c r="A177">
        <v>176</v>
      </c>
      <c r="B177" s="2">
        <v>276.89999999999998</v>
      </c>
      <c r="C177" s="2">
        <v>48.9</v>
      </c>
      <c r="D177" s="2">
        <v>41.8</v>
      </c>
      <c r="E177" s="1">
        <v>27</v>
      </c>
      <c r="F177">
        <f>$L$1+advertising!$M$1*advertising!B177+advertising!$N$1*advertising!C177</f>
        <v>24.830237523359191</v>
      </c>
      <c r="G177">
        <f t="shared" si="10"/>
        <v>4.707869205038457</v>
      </c>
      <c r="H177">
        <f t="shared" si="11"/>
        <v>168.41550624999994</v>
      </c>
      <c r="I177">
        <f t="shared" si="12"/>
        <v>116.8071903738262</v>
      </c>
      <c r="O177">
        <f t="shared" si="13"/>
        <v>3.6114120621162879E-3</v>
      </c>
      <c r="P177" s="1">
        <v>27</v>
      </c>
      <c r="Q177">
        <f t="shared" si="14"/>
        <v>5.6236564301769159</v>
      </c>
      <c r="R177" s="1">
        <v>27</v>
      </c>
    </row>
    <row r="178" spans="1:18" x14ac:dyDescent="0.25">
      <c r="A178">
        <v>177</v>
      </c>
      <c r="B178" s="2">
        <v>248.4</v>
      </c>
      <c r="C178" s="2">
        <v>30.2</v>
      </c>
      <c r="D178" s="2">
        <v>20.3</v>
      </c>
      <c r="E178" s="1">
        <v>20.2</v>
      </c>
      <c r="F178">
        <f>$L$1+advertising!$M$1*advertising!B178+advertising!$N$1*advertising!C178</f>
        <v>20.000433811509943</v>
      </c>
      <c r="G178">
        <f t="shared" si="10"/>
        <v>3.9826663588448705E-2</v>
      </c>
      <c r="H178">
        <f t="shared" si="11"/>
        <v>38.16150624999996</v>
      </c>
      <c r="I178">
        <f t="shared" si="12"/>
        <v>35.735692654793759</v>
      </c>
      <c r="O178">
        <f t="shared" si="13"/>
        <v>4.0257648953301124E-3</v>
      </c>
      <c r="P178" s="1">
        <v>20.2</v>
      </c>
      <c r="Q178">
        <f t="shared" si="14"/>
        <v>5.5150403500593237</v>
      </c>
      <c r="R178" s="1">
        <v>20.2</v>
      </c>
    </row>
    <row r="179" spans="1:18" x14ac:dyDescent="0.25">
      <c r="A179">
        <v>178</v>
      </c>
      <c r="B179" s="2">
        <v>170.2</v>
      </c>
      <c r="C179" s="2">
        <v>7.8</v>
      </c>
      <c r="D179" s="2">
        <v>35.200000000000003</v>
      </c>
      <c r="E179" s="1">
        <v>11.7</v>
      </c>
      <c r="F179">
        <f>$L$1+advertising!$M$1*advertising!B179+advertising!$N$1*advertising!C179</f>
        <v>12.198566157930076</v>
      </c>
      <c r="G179">
        <f t="shared" si="10"/>
        <v>0.24856821383315789</v>
      </c>
      <c r="H179">
        <f t="shared" si="11"/>
        <v>5.3940062500000154</v>
      </c>
      <c r="I179">
        <f t="shared" si="12"/>
        <v>3.3267346602479653</v>
      </c>
      <c r="O179">
        <f t="shared" si="13"/>
        <v>5.8754406580493537E-3</v>
      </c>
      <c r="P179" s="1">
        <v>11.7</v>
      </c>
      <c r="Q179">
        <f t="shared" si="14"/>
        <v>5.136974216139274</v>
      </c>
      <c r="R179" s="1">
        <v>11.7</v>
      </c>
    </row>
    <row r="180" spans="1:18" x14ac:dyDescent="0.25">
      <c r="A180">
        <v>179</v>
      </c>
      <c r="B180" s="2">
        <v>276.7</v>
      </c>
      <c r="C180" s="2">
        <v>2.2999999999999998</v>
      </c>
      <c r="D180" s="2">
        <v>23.7</v>
      </c>
      <c r="E180" s="1">
        <v>11.8</v>
      </c>
      <c r="F180">
        <f>$L$1+advertising!$M$1*advertising!B180+advertising!$N$1*advertising!C180</f>
        <v>16.035585805879791</v>
      </c>
      <c r="G180">
        <f t="shared" si="10"/>
        <v>17.94018711897035</v>
      </c>
      <c r="H180">
        <f t="shared" si="11"/>
        <v>4.9395062500000089</v>
      </c>
      <c r="I180">
        <f t="shared" si="12"/>
        <v>4.0525144618346758</v>
      </c>
      <c r="O180">
        <f t="shared" si="13"/>
        <v>3.6140224069389233E-3</v>
      </c>
      <c r="P180" s="1">
        <v>11.8</v>
      </c>
      <c r="Q180">
        <f t="shared" si="14"/>
        <v>5.6229338867928798</v>
      </c>
      <c r="R180" s="1">
        <v>11.8</v>
      </c>
    </row>
    <row r="181" spans="1:18" x14ac:dyDescent="0.25">
      <c r="A181">
        <v>180</v>
      </c>
      <c r="B181" s="2">
        <v>165.6</v>
      </c>
      <c r="C181" s="2">
        <v>10</v>
      </c>
      <c r="D181" s="2">
        <v>17.600000000000001</v>
      </c>
      <c r="E181" s="1">
        <v>12.6</v>
      </c>
      <c r="F181">
        <f>$L$1+advertising!$M$1*advertising!B181+advertising!$N$1*advertising!C181</f>
        <v>12.402814826055296</v>
      </c>
      <c r="G181">
        <f t="shared" si="10"/>
        <v>3.8881992823602878E-2</v>
      </c>
      <c r="H181">
        <f t="shared" si="11"/>
        <v>2.0235062500000085</v>
      </c>
      <c r="I181">
        <f t="shared" si="12"/>
        <v>2.6233800626962931</v>
      </c>
      <c r="O181">
        <f t="shared" si="13"/>
        <v>6.038647342995169E-3</v>
      </c>
      <c r="P181" s="1">
        <v>12.6</v>
      </c>
      <c r="Q181">
        <f t="shared" si="14"/>
        <v>5.1095752419511591</v>
      </c>
      <c r="R181" s="1">
        <v>12.6</v>
      </c>
    </row>
    <row r="182" spans="1:18" x14ac:dyDescent="0.25">
      <c r="A182">
        <v>181</v>
      </c>
      <c r="B182" s="2">
        <v>156.6</v>
      </c>
      <c r="C182" s="2">
        <v>2.6</v>
      </c>
      <c r="D182" s="2">
        <v>8.3000000000000007</v>
      </c>
      <c r="E182" s="1">
        <v>10.5</v>
      </c>
      <c r="F182">
        <f>$L$1+advertising!$M$1*advertising!B182+advertising!$N$1*advertising!C182</f>
        <v>10.595810891762007</v>
      </c>
      <c r="G182">
        <f t="shared" si="10"/>
        <v>9.1797269802309511E-3</v>
      </c>
      <c r="H182">
        <f t="shared" si="11"/>
        <v>12.408006250000019</v>
      </c>
      <c r="I182">
        <f t="shared" si="12"/>
        <v>11.742198244516912</v>
      </c>
      <c r="O182">
        <f t="shared" si="13"/>
        <v>6.3856960408684551E-3</v>
      </c>
      <c r="P182" s="1">
        <v>10.5</v>
      </c>
      <c r="Q182">
        <f t="shared" si="14"/>
        <v>5.0536947835567023</v>
      </c>
      <c r="R182" s="1">
        <v>10.5</v>
      </c>
    </row>
    <row r="183" spans="1:18" x14ac:dyDescent="0.25">
      <c r="A183">
        <v>182</v>
      </c>
      <c r="B183" s="2">
        <v>218.5</v>
      </c>
      <c r="C183" s="2">
        <v>5.4</v>
      </c>
      <c r="D183" s="2">
        <v>27.4</v>
      </c>
      <c r="E183" s="1">
        <v>12.2</v>
      </c>
      <c r="F183">
        <f>$L$1+advertising!$M$1*advertising!B183+advertising!$N$1*advertising!C183</f>
        <v>13.956526492822087</v>
      </c>
      <c r="G183">
        <f t="shared" si="10"/>
        <v>3.085385319985865</v>
      </c>
      <c r="H183">
        <f t="shared" si="11"/>
        <v>3.3215062500000121</v>
      </c>
      <c r="I183">
        <f t="shared" si="12"/>
        <v>4.3525036493544389E-3</v>
      </c>
      <c r="O183">
        <f t="shared" si="13"/>
        <v>4.5766590389016018E-3</v>
      </c>
      <c r="P183" s="1">
        <v>12.2</v>
      </c>
      <c r="Q183">
        <f t="shared" si="14"/>
        <v>5.3867860145356445</v>
      </c>
      <c r="R183" s="1">
        <v>12.2</v>
      </c>
    </row>
    <row r="184" spans="1:18" x14ac:dyDescent="0.25">
      <c r="A184">
        <v>183</v>
      </c>
      <c r="B184" s="2">
        <v>56.2</v>
      </c>
      <c r="C184" s="2">
        <v>5.7</v>
      </c>
      <c r="D184" s="2">
        <v>29.7</v>
      </c>
      <c r="E184" s="1">
        <v>8.6999999999999993</v>
      </c>
      <c r="F184">
        <f>$L$1+advertising!$M$1*advertising!B184+advertising!$N$1*advertising!C184</f>
        <v>6.5854835404865248</v>
      </c>
      <c r="G184">
        <f t="shared" si="10"/>
        <v>4.4711798575533992</v>
      </c>
      <c r="H184">
        <f t="shared" si="11"/>
        <v>28.329006250000035</v>
      </c>
      <c r="I184">
        <f t="shared" si="12"/>
        <v>55.309213819074387</v>
      </c>
      <c r="O184">
        <f t="shared" si="13"/>
        <v>1.779359430604982E-2</v>
      </c>
      <c r="P184" s="1">
        <v>8.6999999999999993</v>
      </c>
      <c r="Q184">
        <f t="shared" si="14"/>
        <v>4.0289167568996458</v>
      </c>
      <c r="R184" s="1">
        <v>8.6999999999999993</v>
      </c>
    </row>
    <row r="185" spans="1:18" x14ac:dyDescent="0.25">
      <c r="A185">
        <v>184</v>
      </c>
      <c r="B185" s="2">
        <v>287.60000000000002</v>
      </c>
      <c r="C185" s="2">
        <v>43</v>
      </c>
      <c r="D185" s="2">
        <v>71.8</v>
      </c>
      <c r="E185" s="1">
        <v>26.2</v>
      </c>
      <c r="F185">
        <f>$L$1+advertising!$M$1*advertising!B185+advertising!$N$1*advertising!C185</f>
        <v>24.207592129914541</v>
      </c>
      <c r="G185">
        <f t="shared" si="10"/>
        <v>3.969689120778471</v>
      </c>
      <c r="H185">
        <f t="shared" si="11"/>
        <v>148.29150624999991</v>
      </c>
      <c r="I185">
        <f t="shared" si="12"/>
        <v>103.73610169484708</v>
      </c>
      <c r="O185">
        <f t="shared" si="13"/>
        <v>3.4770514603616131E-3</v>
      </c>
      <c r="P185" s="1">
        <v>26.2</v>
      </c>
      <c r="Q185">
        <f t="shared" si="14"/>
        <v>5.6615706258468919</v>
      </c>
      <c r="R185" s="1">
        <v>26.2</v>
      </c>
    </row>
    <row r="186" spans="1:18" x14ac:dyDescent="0.25">
      <c r="A186">
        <v>185</v>
      </c>
      <c r="B186" s="2">
        <v>253.8</v>
      </c>
      <c r="C186" s="2">
        <v>21.3</v>
      </c>
      <c r="D186" s="2">
        <v>30</v>
      </c>
      <c r="E186" s="1">
        <v>17.600000000000001</v>
      </c>
      <c r="F186">
        <f>$L$1+advertising!$M$1*advertising!B186+advertising!$N$1*advertising!C186</f>
        <v>18.569645746397072</v>
      </c>
      <c r="G186">
        <f t="shared" si="10"/>
        <v>0.94021287350593141</v>
      </c>
      <c r="H186">
        <f t="shared" si="11"/>
        <v>12.798506249999992</v>
      </c>
      <c r="I186">
        <f t="shared" si="12"/>
        <v>20.676534438976958</v>
      </c>
      <c r="O186">
        <f t="shared" si="13"/>
        <v>3.9401103230890461E-3</v>
      </c>
      <c r="P186" s="1">
        <v>17.600000000000001</v>
      </c>
      <c r="Q186">
        <f t="shared" si="14"/>
        <v>5.5365465552802871</v>
      </c>
      <c r="R186" s="1">
        <v>17.600000000000001</v>
      </c>
    </row>
    <row r="187" spans="1:18" x14ac:dyDescent="0.25">
      <c r="A187">
        <v>186</v>
      </c>
      <c r="B187" s="2">
        <v>205</v>
      </c>
      <c r="C187" s="2">
        <v>45.1</v>
      </c>
      <c r="D187" s="2">
        <v>19.600000000000001</v>
      </c>
      <c r="E187" s="1">
        <v>22.6</v>
      </c>
      <c r="F187">
        <f>$L$1+advertising!$M$1*advertising!B187+advertising!$N$1*advertising!C187</f>
        <v>20.823345450826931</v>
      </c>
      <c r="G187">
        <f t="shared" si="10"/>
        <v>3.1565013870973657</v>
      </c>
      <c r="H187">
        <f t="shared" si="11"/>
        <v>73.57350624999998</v>
      </c>
      <c r="I187">
        <f t="shared" si="12"/>
        <v>46.251498846033329</v>
      </c>
      <c r="O187">
        <f t="shared" si="13"/>
        <v>4.8780487804878049E-3</v>
      </c>
      <c r="P187" s="1">
        <v>22.6</v>
      </c>
      <c r="Q187">
        <f t="shared" si="14"/>
        <v>5.3230099791384085</v>
      </c>
      <c r="R187" s="1">
        <v>22.6</v>
      </c>
    </row>
    <row r="188" spans="1:18" x14ac:dyDescent="0.25">
      <c r="A188">
        <v>187</v>
      </c>
      <c r="B188" s="2">
        <v>139.5</v>
      </c>
      <c r="C188" s="2">
        <v>2.1</v>
      </c>
      <c r="D188" s="2">
        <v>26.6</v>
      </c>
      <c r="E188" s="1">
        <v>10.3</v>
      </c>
      <c r="F188">
        <f>$L$1+advertising!$M$1*advertising!B188+advertising!$N$1*advertising!C188</f>
        <v>9.7189704460156054</v>
      </c>
      <c r="G188">
        <f t="shared" si="10"/>
        <v>0.33759534260330532</v>
      </c>
      <c r="H188">
        <f t="shared" si="11"/>
        <v>13.857006250000014</v>
      </c>
      <c r="I188">
        <f t="shared" si="12"/>
        <v>18.520366622017143</v>
      </c>
      <c r="O188">
        <f t="shared" si="13"/>
        <v>7.1684587813620072E-3</v>
      </c>
      <c r="P188" s="1">
        <v>10.3</v>
      </c>
      <c r="Q188">
        <f t="shared" si="14"/>
        <v>4.93806460126142</v>
      </c>
      <c r="R188" s="1">
        <v>10.3</v>
      </c>
    </row>
    <row r="189" spans="1:18" x14ac:dyDescent="0.25">
      <c r="A189">
        <v>188</v>
      </c>
      <c r="B189" s="2">
        <v>191.1</v>
      </c>
      <c r="C189" s="2">
        <v>28.7</v>
      </c>
      <c r="D189" s="2">
        <v>18.2</v>
      </c>
      <c r="E189" s="1">
        <v>17.3</v>
      </c>
      <c r="F189">
        <f>$L$1+advertising!$M$1*advertising!B189+advertising!$N$1*advertising!C189</f>
        <v>17.095324601538355</v>
      </c>
      <c r="G189">
        <f t="shared" si="10"/>
        <v>4.1892018735433495E-2</v>
      </c>
      <c r="H189">
        <f t="shared" si="11"/>
        <v>10.742006249999987</v>
      </c>
      <c r="I189">
        <f t="shared" si="12"/>
        <v>9.4422510318193336</v>
      </c>
      <c r="O189">
        <f t="shared" si="13"/>
        <v>5.2328623757195184E-3</v>
      </c>
      <c r="P189" s="1">
        <v>17.3</v>
      </c>
      <c r="Q189">
        <f t="shared" si="14"/>
        <v>5.2527968512462273</v>
      </c>
      <c r="R189" s="1">
        <v>17.3</v>
      </c>
    </row>
    <row r="190" spans="1:18" x14ac:dyDescent="0.25">
      <c r="A190">
        <v>189</v>
      </c>
      <c r="B190" s="2">
        <v>286</v>
      </c>
      <c r="C190" s="2">
        <v>13.9</v>
      </c>
      <c r="D190" s="2">
        <v>3.7</v>
      </c>
      <c r="E190" s="1">
        <v>15.9</v>
      </c>
      <c r="F190">
        <f>$L$1+advertising!$M$1*advertising!B190+advertising!$N$1*advertising!C190</f>
        <v>18.648145204866157</v>
      </c>
      <c r="G190">
        <f t="shared" si="10"/>
        <v>7.5523020670288519</v>
      </c>
      <c r="H190">
        <f t="shared" si="11"/>
        <v>3.5250062499999917</v>
      </c>
      <c r="I190">
        <f t="shared" si="12"/>
        <v>21.396593561301252</v>
      </c>
      <c r="O190">
        <f t="shared" si="13"/>
        <v>3.4965034965034965E-3</v>
      </c>
      <c r="P190" s="1">
        <v>15.9</v>
      </c>
      <c r="Q190">
        <f t="shared" si="14"/>
        <v>5.6559918108198524</v>
      </c>
      <c r="R190" s="1">
        <v>15.9</v>
      </c>
    </row>
    <row r="191" spans="1:18" x14ac:dyDescent="0.25">
      <c r="A191">
        <v>190</v>
      </c>
      <c r="B191" s="2">
        <v>18.7</v>
      </c>
      <c r="C191" s="2">
        <v>12.1</v>
      </c>
      <c r="D191" s="2">
        <v>23.4</v>
      </c>
      <c r="E191" s="1">
        <v>6.7</v>
      </c>
      <c r="F191">
        <f>$L$1+advertising!$M$1*advertising!B191+advertising!$N$1*advertising!C191</f>
        <v>6.0759014441856234</v>
      </c>
      <c r="G191">
        <f t="shared" si="10"/>
        <v>0.38949900736959076</v>
      </c>
      <c r="H191">
        <f t="shared" si="11"/>
        <v>53.619006250000034</v>
      </c>
      <c r="I191">
        <f t="shared" si="12"/>
        <v>63.148428607271178</v>
      </c>
      <c r="O191">
        <f t="shared" si="13"/>
        <v>5.3475935828877004E-2</v>
      </c>
      <c r="P191" s="1">
        <v>6.7</v>
      </c>
      <c r="Q191">
        <f t="shared" si="14"/>
        <v>2.9285235238605409</v>
      </c>
      <c r="R191" s="1">
        <v>6.7</v>
      </c>
    </row>
    <row r="192" spans="1:18" x14ac:dyDescent="0.25">
      <c r="A192">
        <v>191</v>
      </c>
      <c r="B192" s="2">
        <v>39.5</v>
      </c>
      <c r="C192" s="2">
        <v>41.1</v>
      </c>
      <c r="D192" s="2">
        <v>5.8</v>
      </c>
      <c r="E192" s="1">
        <v>10.8</v>
      </c>
      <c r="F192">
        <f>$L$1+advertising!$M$1*advertising!B192+advertising!$N$1*advertising!C192</f>
        <v>12.495176560285818</v>
      </c>
      <c r="G192">
        <f t="shared" si="10"/>
        <v>2.8736235705424567</v>
      </c>
      <c r="H192">
        <f t="shared" si="11"/>
        <v>10.384506250000012</v>
      </c>
      <c r="I192">
        <f t="shared" si="12"/>
        <v>2.3327168895003672</v>
      </c>
      <c r="O192">
        <f t="shared" si="13"/>
        <v>2.5316455696202531E-2</v>
      </c>
      <c r="P192" s="1">
        <v>10.8</v>
      </c>
      <c r="Q192">
        <f t="shared" si="14"/>
        <v>3.6763006719070761</v>
      </c>
      <c r="R192" s="1">
        <v>10.8</v>
      </c>
    </row>
    <row r="193" spans="1:18" x14ac:dyDescent="0.25">
      <c r="A193">
        <v>192</v>
      </c>
      <c r="B193" s="2">
        <v>75.5</v>
      </c>
      <c r="C193" s="2">
        <v>10.8</v>
      </c>
      <c r="D193" s="2">
        <v>6</v>
      </c>
      <c r="E193" s="1">
        <v>9.9</v>
      </c>
      <c r="F193">
        <f>$L$1+advertising!$M$1*advertising!B193+advertising!$N$1*advertising!C193</f>
        <v>8.4302442840585403</v>
      </c>
      <c r="G193">
        <f t="shared" si="10"/>
        <v>2.1601818645425936</v>
      </c>
      <c r="H193">
        <f t="shared" si="11"/>
        <v>16.995006250000017</v>
      </c>
      <c r="I193">
        <f t="shared" si="12"/>
        <v>31.273323992479956</v>
      </c>
      <c r="O193">
        <f t="shared" si="13"/>
        <v>1.3245033112582781E-2</v>
      </c>
      <c r="P193" s="1">
        <v>9.9</v>
      </c>
      <c r="Q193">
        <f t="shared" si="14"/>
        <v>4.3241326562549789</v>
      </c>
      <c r="R193" s="1">
        <v>9.9</v>
      </c>
    </row>
    <row r="194" spans="1:18" x14ac:dyDescent="0.25">
      <c r="A194">
        <v>193</v>
      </c>
      <c r="B194" s="2">
        <v>17.2</v>
      </c>
      <c r="C194" s="2">
        <v>4.0999999999999996</v>
      </c>
      <c r="D194" s="2">
        <v>31.6</v>
      </c>
      <c r="E194" s="1">
        <v>5.9</v>
      </c>
      <c r="F194">
        <f>$L$1+advertising!$M$1*advertising!B194+advertising!$N$1*advertising!C194</f>
        <v>4.4990143406568928</v>
      </c>
      <c r="G194">
        <f t="shared" si="10"/>
        <v>1.962760817685042</v>
      </c>
      <c r="H194">
        <f t="shared" si="11"/>
        <v>65.975006250000035</v>
      </c>
      <c r="I194">
        <f t="shared" si="12"/>
        <v>90.696779103713851</v>
      </c>
      <c r="O194">
        <f t="shared" si="13"/>
        <v>5.8139534883720929E-2</v>
      </c>
      <c r="P194" s="1">
        <v>5.9</v>
      </c>
      <c r="Q194">
        <f t="shared" si="14"/>
        <v>2.8449093838194073</v>
      </c>
      <c r="R194" s="1">
        <v>5.9</v>
      </c>
    </row>
    <row r="195" spans="1:18" x14ac:dyDescent="0.25">
      <c r="A195">
        <v>194</v>
      </c>
      <c r="B195" s="2">
        <v>166.8</v>
      </c>
      <c r="C195" s="2">
        <v>42</v>
      </c>
      <c r="D195" s="2">
        <v>3.6</v>
      </c>
      <c r="E195" s="1">
        <v>19.600000000000001</v>
      </c>
      <c r="F195">
        <f>$L$1+advertising!$M$1*advertising!B195+advertising!$N$1*advertising!C195</f>
        <v>18.490692941984314</v>
      </c>
      <c r="G195">
        <f t="shared" ref="G195:G201" si="15">(E195-F195)^2</f>
        <v>1.2305621489634202</v>
      </c>
      <c r="H195">
        <f t="shared" ref="H195:H201" si="16">(E195-AVERAGE($E$2:$E$201))^2</f>
        <v>31.108506249999987</v>
      </c>
      <c r="I195">
        <f t="shared" ref="I195:I201" si="17">(F195-AVERAGE($E$2:$E$201))^2</f>
        <v>19.964748166798415</v>
      </c>
      <c r="O195">
        <f t="shared" ref="O195:O201" si="18">1/B195</f>
        <v>5.9952038369304557E-3</v>
      </c>
      <c r="P195" s="1">
        <v>19.600000000000001</v>
      </c>
      <c r="Q195">
        <f t="shared" ref="Q195:Q201" si="19">LN(B195)</f>
        <v>5.1167954899246464</v>
      </c>
      <c r="R195" s="1">
        <v>19.600000000000001</v>
      </c>
    </row>
    <row r="196" spans="1:18" x14ac:dyDescent="0.25">
      <c r="A196">
        <v>195</v>
      </c>
      <c r="B196" s="2">
        <v>149.69999999999999</v>
      </c>
      <c r="C196" s="2">
        <v>35.6</v>
      </c>
      <c r="D196" s="2">
        <v>6</v>
      </c>
      <c r="E196" s="1">
        <v>17.3</v>
      </c>
      <c r="F196">
        <f>$L$1+advertising!$M$1*advertising!B196+advertising!$N$1*advertising!C196</f>
        <v>16.501525396420504</v>
      </c>
      <c r="G196">
        <f t="shared" si="15"/>
        <v>0.6375616925614338</v>
      </c>
      <c r="H196">
        <f t="shared" si="16"/>
        <v>10.742006249999987</v>
      </c>
      <c r="I196">
        <f t="shared" si="17"/>
        <v>6.1455669160978257</v>
      </c>
      <c r="O196">
        <f t="shared" si="18"/>
        <v>6.6800267201068807E-3</v>
      </c>
      <c r="P196" s="1">
        <v>17.3</v>
      </c>
      <c r="Q196">
        <f t="shared" si="19"/>
        <v>5.0086332914255829</v>
      </c>
      <c r="R196" s="1">
        <v>17.3</v>
      </c>
    </row>
    <row r="197" spans="1:18" x14ac:dyDescent="0.25">
      <c r="A197">
        <v>196</v>
      </c>
      <c r="B197" s="2">
        <v>38.200000000000003</v>
      </c>
      <c r="C197" s="2">
        <v>3.7</v>
      </c>
      <c r="D197" s="2">
        <v>13.8</v>
      </c>
      <c r="E197" s="1">
        <v>7.6</v>
      </c>
      <c r="F197">
        <f>$L$1+advertising!$M$1*advertising!B197+advertising!$N$1*advertising!C197</f>
        <v>5.3846598884529602</v>
      </c>
      <c r="G197">
        <f t="shared" si="15"/>
        <v>4.9077318098292491</v>
      </c>
      <c r="H197">
        <f t="shared" si="16"/>
        <v>41.248506250000041</v>
      </c>
      <c r="I197">
        <f t="shared" si="17"/>
        <v>74.612281792651018</v>
      </c>
      <c r="O197">
        <f t="shared" si="18"/>
        <v>2.6178010471204185E-2</v>
      </c>
      <c r="P197" s="1">
        <v>7.6</v>
      </c>
      <c r="Q197">
        <f t="shared" si="19"/>
        <v>3.6428355156125294</v>
      </c>
      <c r="R197" s="1">
        <v>7.6</v>
      </c>
    </row>
    <row r="198" spans="1:18" x14ac:dyDescent="0.25">
      <c r="A198">
        <v>197</v>
      </c>
      <c r="B198" s="2">
        <v>94.2</v>
      </c>
      <c r="C198" s="2">
        <v>4.9000000000000004</v>
      </c>
      <c r="D198" s="2">
        <v>8.1</v>
      </c>
      <c r="E198" s="1">
        <v>9.6999999999999993</v>
      </c>
      <c r="F198">
        <f>$L$1+advertising!$M$1*advertising!B198+advertising!$N$1*advertising!C198</f>
        <v>8.1737160542570688</v>
      </c>
      <c r="G198">
        <f t="shared" si="15"/>
        <v>2.3295426830326087</v>
      </c>
      <c r="H198">
        <f t="shared" si="16"/>
        <v>18.684006250000028</v>
      </c>
      <c r="I198">
        <f t="shared" si="17"/>
        <v>34.208273643980284</v>
      </c>
      <c r="O198">
        <f t="shared" si="18"/>
        <v>1.0615711252653927E-2</v>
      </c>
      <c r="P198" s="1">
        <v>9.6999999999999993</v>
      </c>
      <c r="Q198">
        <f t="shared" si="19"/>
        <v>4.5454201815823172</v>
      </c>
      <c r="R198" s="1">
        <v>9.6999999999999993</v>
      </c>
    </row>
    <row r="199" spans="1:18" x14ac:dyDescent="0.25">
      <c r="A199">
        <v>198</v>
      </c>
      <c r="B199" s="2">
        <v>177</v>
      </c>
      <c r="C199" s="2">
        <v>9.3000000000000007</v>
      </c>
      <c r="D199" s="2">
        <v>6.4</v>
      </c>
      <c r="E199" s="1">
        <v>12.8</v>
      </c>
      <c r="F199">
        <f>$L$1+advertising!$M$1*advertising!B199+advertising!$N$1*advertising!C199</f>
        <v>12.792560772404086</v>
      </c>
      <c r="G199">
        <f t="shared" si="15"/>
        <v>5.5342107223826226E-5</v>
      </c>
      <c r="H199">
        <f t="shared" si="16"/>
        <v>1.4945062500000046</v>
      </c>
      <c r="I199">
        <f t="shared" si="17"/>
        <v>1.5127505035792412</v>
      </c>
      <c r="O199">
        <f t="shared" si="18"/>
        <v>5.6497175141242938E-3</v>
      </c>
      <c r="P199" s="1">
        <v>12.8</v>
      </c>
      <c r="Q199">
        <f t="shared" si="19"/>
        <v>5.1761497325738288</v>
      </c>
      <c r="R199" s="1">
        <v>12.8</v>
      </c>
    </row>
    <row r="200" spans="1:18" x14ac:dyDescent="0.25">
      <c r="A200">
        <v>199</v>
      </c>
      <c r="B200" s="2">
        <v>283.60000000000002</v>
      </c>
      <c r="C200" s="2">
        <v>42</v>
      </c>
      <c r="D200" s="2">
        <v>66.2</v>
      </c>
      <c r="E200" s="1">
        <v>25.5</v>
      </c>
      <c r="F200">
        <f>$L$1+advertising!$M$1*advertising!B200+advertising!$N$1*advertising!C200</f>
        <v>23.836003531174747</v>
      </c>
      <c r="G200">
        <f t="shared" si="15"/>
        <v>2.7688842482629124</v>
      </c>
      <c r="H200">
        <f t="shared" si="16"/>
        <v>131.73300624999993</v>
      </c>
      <c r="I200">
        <f t="shared" si="17"/>
        <v>96.304851556379177</v>
      </c>
      <c r="O200">
        <f t="shared" si="18"/>
        <v>3.5260930888575456E-3</v>
      </c>
      <c r="P200" s="1">
        <v>25.5</v>
      </c>
      <c r="Q200">
        <f t="shared" si="19"/>
        <v>5.6475647946579723</v>
      </c>
      <c r="R200" s="1">
        <v>25.5</v>
      </c>
    </row>
    <row r="201" spans="1:18" x14ac:dyDescent="0.25">
      <c r="A201">
        <v>200</v>
      </c>
      <c r="B201" s="2">
        <v>232.1</v>
      </c>
      <c r="C201" s="2">
        <v>8.6</v>
      </c>
      <c r="D201" s="2">
        <v>8.6999999999999993</v>
      </c>
      <c r="E201" s="1">
        <v>13.4</v>
      </c>
      <c r="F201">
        <f>$L$1+advertising!$M$1*advertising!B201+advertising!$N$1*advertising!C201</f>
        <v>15.182221725153749</v>
      </c>
      <c r="G201">
        <f t="shared" si="15"/>
        <v>3.1763142776100031</v>
      </c>
      <c r="H201">
        <f t="shared" si="16"/>
        <v>0.38750625000000283</v>
      </c>
      <c r="I201">
        <f t="shared" si="17"/>
        <v>1.3449544797935811</v>
      </c>
      <c r="O201">
        <f t="shared" si="18"/>
        <v>4.3084877208099956E-3</v>
      </c>
      <c r="P201" s="1">
        <v>13.4</v>
      </c>
      <c r="Q201">
        <f t="shared" si="19"/>
        <v>5.4471683132803914</v>
      </c>
      <c r="R201" s="1">
        <v>13.4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2446-F676-4DA3-B66B-8BD4084DFF94}">
  <dimension ref="C1:AB23"/>
  <sheetViews>
    <sheetView tabSelected="1" workbookViewId="0">
      <selection activeCell="Z4" sqref="Z4"/>
    </sheetView>
  </sheetViews>
  <sheetFormatPr defaultRowHeight="15" x14ac:dyDescent="0.25"/>
  <sheetData>
    <row r="1" spans="3:28" x14ac:dyDescent="0.25">
      <c r="D1" t="s">
        <v>0</v>
      </c>
      <c r="E1" t="s">
        <v>1</v>
      </c>
      <c r="F1" t="s">
        <v>2</v>
      </c>
      <c r="G1" t="s">
        <v>3</v>
      </c>
    </row>
    <row r="2" spans="3:28" x14ac:dyDescent="0.25">
      <c r="C2">
        <v>1</v>
      </c>
      <c r="D2">
        <v>230.1</v>
      </c>
      <c r="E2">
        <v>37.799999999999997</v>
      </c>
      <c r="F2">
        <v>69.2</v>
      </c>
      <c r="G2">
        <v>22.1</v>
      </c>
    </row>
    <row r="3" spans="3:28" x14ac:dyDescent="0.25">
      <c r="C3">
        <v>2</v>
      </c>
      <c r="D3">
        <v>44.5</v>
      </c>
      <c r="E3">
        <v>39.299999999999997</v>
      </c>
      <c r="F3">
        <v>45.1</v>
      </c>
      <c r="G3">
        <v>10.4</v>
      </c>
    </row>
    <row r="4" spans="3:28" x14ac:dyDescent="0.25">
      <c r="C4">
        <v>3</v>
      </c>
      <c r="D4">
        <v>17.2</v>
      </c>
      <c r="E4">
        <v>45.9</v>
      </c>
      <c r="F4">
        <v>69.3</v>
      </c>
      <c r="G4">
        <v>9.3000000000000007</v>
      </c>
    </row>
    <row r="5" spans="3:28" x14ac:dyDescent="0.25">
      <c r="C5">
        <v>4</v>
      </c>
      <c r="D5">
        <v>151.5</v>
      </c>
      <c r="E5">
        <v>41.3</v>
      </c>
      <c r="F5">
        <v>58.5</v>
      </c>
      <c r="G5">
        <v>18.5</v>
      </c>
      <c r="Q5" t="s">
        <v>51</v>
      </c>
    </row>
    <row r="6" spans="3:28" x14ac:dyDescent="0.25">
      <c r="C6">
        <v>5</v>
      </c>
      <c r="D6">
        <v>180.8</v>
      </c>
      <c r="E6">
        <v>10.8</v>
      </c>
      <c r="F6">
        <v>58.4</v>
      </c>
      <c r="G6">
        <v>12.9</v>
      </c>
      <c r="Q6">
        <v>1</v>
      </c>
      <c r="R6">
        <v>230.1</v>
      </c>
      <c r="S6">
        <v>37.799999999999997</v>
      </c>
      <c r="T6">
        <v>69.2</v>
      </c>
      <c r="U6">
        <v>22.1</v>
      </c>
      <c r="X6">
        <v>2</v>
      </c>
      <c r="Y6">
        <v>44.5</v>
      </c>
      <c r="Z6">
        <v>39.299999999999997</v>
      </c>
      <c r="AA6">
        <v>45.1</v>
      </c>
      <c r="AB6">
        <v>10.4</v>
      </c>
    </row>
    <row r="7" spans="3:28" x14ac:dyDescent="0.25">
      <c r="C7">
        <v>6</v>
      </c>
      <c r="D7">
        <v>8.6999999999999993</v>
      </c>
      <c r="E7">
        <v>48.9</v>
      </c>
      <c r="F7">
        <v>75</v>
      </c>
      <c r="G7">
        <v>7.2</v>
      </c>
      <c r="Q7">
        <v>2</v>
      </c>
      <c r="R7">
        <v>44.5</v>
      </c>
      <c r="S7">
        <v>39.299999999999997</v>
      </c>
      <c r="T7">
        <v>45.1</v>
      </c>
      <c r="U7">
        <v>10.4</v>
      </c>
      <c r="X7">
        <v>3</v>
      </c>
      <c r="Y7">
        <v>17.2</v>
      </c>
      <c r="Z7">
        <v>45.9</v>
      </c>
      <c r="AA7">
        <v>69.3</v>
      </c>
      <c r="AB7">
        <v>9.3000000000000007</v>
      </c>
    </row>
    <row r="8" spans="3:28" x14ac:dyDescent="0.25">
      <c r="C8">
        <v>7</v>
      </c>
      <c r="D8">
        <v>57.5</v>
      </c>
      <c r="E8">
        <v>32.799999999999997</v>
      </c>
      <c r="F8">
        <v>23.5</v>
      </c>
      <c r="G8">
        <v>11.8</v>
      </c>
      <c r="Q8">
        <v>3</v>
      </c>
      <c r="R8">
        <v>17.2</v>
      </c>
      <c r="S8">
        <v>45.9</v>
      </c>
      <c r="T8">
        <v>69.3</v>
      </c>
      <c r="U8">
        <v>9.3000000000000007</v>
      </c>
      <c r="X8">
        <v>4</v>
      </c>
      <c r="Y8">
        <v>151.5</v>
      </c>
      <c r="Z8">
        <v>41.3</v>
      </c>
      <c r="AA8">
        <v>58.5</v>
      </c>
      <c r="AB8">
        <v>18.5</v>
      </c>
    </row>
    <row r="9" spans="3:28" x14ac:dyDescent="0.25">
      <c r="C9">
        <v>8</v>
      </c>
      <c r="D9">
        <v>120.2</v>
      </c>
      <c r="E9">
        <v>19.600000000000001</v>
      </c>
      <c r="F9">
        <v>11.6</v>
      </c>
      <c r="G9">
        <v>13.2</v>
      </c>
      <c r="Q9">
        <v>4</v>
      </c>
      <c r="R9">
        <v>151.5</v>
      </c>
      <c r="S9">
        <v>41.3</v>
      </c>
      <c r="T9">
        <v>58.5</v>
      </c>
      <c r="U9">
        <v>18.5</v>
      </c>
      <c r="X9">
        <v>5</v>
      </c>
      <c r="Y9">
        <v>180.8</v>
      </c>
      <c r="Z9">
        <v>10.8</v>
      </c>
      <c r="AA9">
        <v>58.4</v>
      </c>
      <c r="AB9">
        <v>12.9</v>
      </c>
    </row>
    <row r="10" spans="3:28" x14ac:dyDescent="0.25">
      <c r="C10">
        <v>9</v>
      </c>
      <c r="D10">
        <v>8.6</v>
      </c>
      <c r="E10">
        <v>2.1</v>
      </c>
      <c r="F10">
        <v>1</v>
      </c>
      <c r="G10">
        <v>4.8</v>
      </c>
      <c r="Q10">
        <v>5</v>
      </c>
      <c r="R10">
        <v>180.8</v>
      </c>
      <c r="S10">
        <v>10.8</v>
      </c>
      <c r="T10">
        <v>58.4</v>
      </c>
      <c r="U10">
        <v>12.9</v>
      </c>
      <c r="X10">
        <v>6</v>
      </c>
      <c r="Y10">
        <v>8.6999999999999993</v>
      </c>
      <c r="Z10">
        <v>48.9</v>
      </c>
      <c r="AA10">
        <v>75</v>
      </c>
      <c r="AB10">
        <v>7.2</v>
      </c>
    </row>
    <row r="11" spans="3:28" x14ac:dyDescent="0.25">
      <c r="C11">
        <v>10</v>
      </c>
      <c r="D11">
        <v>199.8</v>
      </c>
      <c r="E11">
        <v>2.6</v>
      </c>
      <c r="F11">
        <v>21.2</v>
      </c>
      <c r="G11">
        <v>10.6</v>
      </c>
      <c r="Q11">
        <v>6</v>
      </c>
      <c r="R11">
        <v>8.6999999999999993</v>
      </c>
      <c r="S11">
        <v>48.9</v>
      </c>
      <c r="T11">
        <v>75</v>
      </c>
      <c r="U11">
        <v>7.2</v>
      </c>
      <c r="X11">
        <v>7</v>
      </c>
      <c r="Y11">
        <v>57.5</v>
      </c>
      <c r="Z11">
        <v>32.799999999999997</v>
      </c>
      <c r="AA11">
        <v>23.5</v>
      </c>
      <c r="AB11">
        <v>11.8</v>
      </c>
    </row>
    <row r="12" spans="3:28" x14ac:dyDescent="0.25">
      <c r="K12" t="s">
        <v>49</v>
      </c>
      <c r="L12" t="s">
        <v>50</v>
      </c>
      <c r="Q12">
        <v>7</v>
      </c>
      <c r="R12">
        <v>57.5</v>
      </c>
      <c r="S12">
        <v>32.799999999999997</v>
      </c>
      <c r="T12">
        <v>23.5</v>
      </c>
      <c r="U12">
        <v>11.8</v>
      </c>
      <c r="X12">
        <v>8</v>
      </c>
      <c r="Y12">
        <v>120.2</v>
      </c>
      <c r="Z12">
        <v>19.600000000000001</v>
      </c>
      <c r="AA12">
        <v>11.6</v>
      </c>
      <c r="AB12">
        <v>13.2</v>
      </c>
    </row>
    <row r="13" spans="3:28" ht="15.75" thickBot="1" x14ac:dyDescent="0.3">
      <c r="K13">
        <v>1</v>
      </c>
      <c r="L13">
        <v>2</v>
      </c>
      <c r="M13">
        <v>3</v>
      </c>
      <c r="N13">
        <v>4</v>
      </c>
      <c r="Q13">
        <v>8</v>
      </c>
      <c r="R13">
        <v>120.2</v>
      </c>
      <c r="S13">
        <v>19.600000000000001</v>
      </c>
      <c r="T13">
        <v>11.6</v>
      </c>
      <c r="U13">
        <v>13.2</v>
      </c>
      <c r="X13">
        <v>9</v>
      </c>
      <c r="Y13">
        <v>8.6</v>
      </c>
      <c r="Z13">
        <v>2.1</v>
      </c>
      <c r="AA13">
        <v>1</v>
      </c>
      <c r="AB13">
        <v>4.8</v>
      </c>
    </row>
    <row r="14" spans="3:28" x14ac:dyDescent="0.25">
      <c r="J14">
        <v>1</v>
      </c>
      <c r="K14" s="7">
        <v>4</v>
      </c>
      <c r="L14" s="8">
        <v>4</v>
      </c>
      <c r="M14" s="8">
        <v>3</v>
      </c>
      <c r="N14" s="9">
        <v>6</v>
      </c>
      <c r="Q14">
        <v>9</v>
      </c>
      <c r="R14">
        <v>8.6</v>
      </c>
      <c r="S14">
        <v>2.1</v>
      </c>
      <c r="T14">
        <v>1</v>
      </c>
      <c r="U14">
        <v>4.8</v>
      </c>
      <c r="X14">
        <v>10</v>
      </c>
      <c r="Y14">
        <v>199.8</v>
      </c>
      <c r="Z14">
        <v>2.6</v>
      </c>
      <c r="AA14">
        <v>21.2</v>
      </c>
      <c r="AB14">
        <v>10.6</v>
      </c>
    </row>
    <row r="15" spans="3:28" x14ac:dyDescent="0.25">
      <c r="J15">
        <v>2</v>
      </c>
      <c r="K15" s="10">
        <v>2</v>
      </c>
      <c r="L15" s="11">
        <v>4</v>
      </c>
      <c r="M15" s="11">
        <v>2</v>
      </c>
      <c r="N15" s="12">
        <v>5</v>
      </c>
    </row>
    <row r="16" spans="3:28" x14ac:dyDescent="0.25">
      <c r="J16">
        <v>3</v>
      </c>
      <c r="K16" s="10">
        <v>1</v>
      </c>
      <c r="L16" s="11">
        <v>9</v>
      </c>
      <c r="M16" s="11">
        <v>2</v>
      </c>
      <c r="N16" s="12">
        <v>3</v>
      </c>
    </row>
    <row r="17" spans="10:14" x14ac:dyDescent="0.25">
      <c r="J17">
        <v>4</v>
      </c>
      <c r="K17" s="10">
        <v>3</v>
      </c>
      <c r="L17" s="11">
        <v>9</v>
      </c>
      <c r="M17" s="11">
        <v>7</v>
      </c>
      <c r="N17" s="12">
        <v>4</v>
      </c>
    </row>
    <row r="18" spans="10:14" x14ac:dyDescent="0.25">
      <c r="J18">
        <v>5</v>
      </c>
      <c r="K18" s="10">
        <v>8</v>
      </c>
      <c r="L18" s="11">
        <v>4</v>
      </c>
      <c r="M18" s="11">
        <v>4</v>
      </c>
      <c r="N18" s="12">
        <v>3</v>
      </c>
    </row>
    <row r="19" spans="10:14" x14ac:dyDescent="0.25">
      <c r="J19">
        <v>6</v>
      </c>
      <c r="K19" s="10">
        <v>2</v>
      </c>
      <c r="L19" s="11">
        <v>3</v>
      </c>
      <c r="M19" s="11">
        <v>1</v>
      </c>
      <c r="N19" s="12">
        <v>2</v>
      </c>
    </row>
    <row r="20" spans="10:14" x14ac:dyDescent="0.25">
      <c r="J20">
        <v>7</v>
      </c>
      <c r="K20" s="10">
        <v>5</v>
      </c>
      <c r="L20" s="11">
        <v>9</v>
      </c>
      <c r="M20" s="11">
        <v>6</v>
      </c>
      <c r="N20" s="12">
        <v>10</v>
      </c>
    </row>
    <row r="21" spans="10:14" x14ac:dyDescent="0.25">
      <c r="J21">
        <v>8</v>
      </c>
      <c r="K21" s="10">
        <v>2</v>
      </c>
      <c r="L21" s="11">
        <v>10</v>
      </c>
      <c r="M21" s="11">
        <v>6</v>
      </c>
      <c r="N21" s="12">
        <v>4</v>
      </c>
    </row>
    <row r="22" spans="10:14" x14ac:dyDescent="0.25">
      <c r="J22">
        <v>9</v>
      </c>
      <c r="K22" s="10">
        <v>7</v>
      </c>
      <c r="L22" s="11">
        <v>7</v>
      </c>
      <c r="M22" s="11">
        <v>1</v>
      </c>
      <c r="N22" s="12">
        <v>2</v>
      </c>
    </row>
    <row r="23" spans="10:14" ht="15.75" thickBot="1" x14ac:dyDescent="0.3">
      <c r="J23">
        <v>10</v>
      </c>
      <c r="K23" s="13">
        <v>9</v>
      </c>
      <c r="L23" s="14">
        <v>3</v>
      </c>
      <c r="M23" s="14">
        <v>6</v>
      </c>
      <c r="N23" s="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advertising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NakulPadalkar</dc:creator>
  <cp:lastModifiedBy>NakulPadalkar</cp:lastModifiedBy>
  <dcterms:created xsi:type="dcterms:W3CDTF">2022-01-20T19:26:44Z</dcterms:created>
  <dcterms:modified xsi:type="dcterms:W3CDTF">2022-02-06T00:07:25Z</dcterms:modified>
</cp:coreProperties>
</file>